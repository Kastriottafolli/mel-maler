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Artikelstamm" sheetId="2" state="visible" r:id="rId2"/>
    <sheet name="Hauptmagazin" sheetId="3" state="visible" r:id="rId3"/>
    <sheet name="Panorama" sheetId="4" state="visible" r:id="rId4"/>
    <sheet name="Kachelofen" sheetId="5" state="visible" r:id="rId5"/>
    <sheet name="Gugelhupf" sheetId="6" state="visible" r:id="rId6"/>
    <sheet name="Lucia" sheetId="7" state="visible" r:id="rId7"/>
    <sheet name="Bar" sheetId="8" state="visible" r:id="rId8"/>
    <sheet name="Suche" sheetId="9" state="visible" r:id="rId9"/>
    <sheet name="Neue Artikel" sheetId="10" state="visible" r:id="rId10"/>
    <sheet name="Auswertung" sheetId="11" state="visible" r:id="rId11"/>
    <sheet name="Rechtschreibung" sheetId="12" state="visible" r:id="rId12"/>
    <sheet name="Listen" sheetId="13" state="visible" r:id="rId13"/>
  </sheets>
  <definedNames>
    <definedName name="ArtikelListe">OFFSET(Artikelstamm!$B$5,0,0,COUNTA(Artikelstamm!$B$5:$B$500),1)</definedName>
    <definedName name="Einheiten">OFFSET(Listen!$A$5,0,0,COUNTA(Listen!$A$5:$A$400),1)</definedName>
    <definedName name="Lagerorte">OFFSET(Listen!$B$5,0,0,COUNTA(Listen!$B$5:$B$400),1)</definedName>
    <definedName name="Warengruppen">OFFSET(Listen!$C$5,0,0,COUNTA(Listen!$C$5:$C$400),1)</definedName>
    <definedName name="Lieferanten">OFFSET(Listen!$D$5,0,0,COUNTA(Listen!$D$5:$D$400),1)</definedName>
    <definedName name="Zaehlstellen">OFFSET(Listen!$E$5,0,0,COUNTA(Listen!$E$5:$E$400),1)</definedName>
    <definedName name="_xlnm._FilterDatabase" localSheetId="1" hidden="1">'Artikelstamm'!$A$4:$I$351</definedName>
    <definedName name="_xlnm._FilterDatabase" localSheetId="2" hidden="1">'Hauptmagazin'!$A$8:$H$258</definedName>
    <definedName name="_xlnm._FilterDatabase" localSheetId="3" hidden="1">'Panorama'!$A$8:$H$258</definedName>
    <definedName name="_xlnm._FilterDatabase" localSheetId="4" hidden="1">'Kachelofen'!$A$8:$H$258</definedName>
    <definedName name="_xlnm._FilterDatabase" localSheetId="5" hidden="1">'Gugelhupf'!$A$8:$H$258</definedName>
    <definedName name="_xlnm._FilterDatabase" localSheetId="6" hidden="1">'Lucia'!$A$8:$H$258</definedName>
    <definedName name="_xlnm._FilterDatabase" localSheetId="7" hidden="1">'Bar'!$A$8:$H$258</definedName>
    <definedName name="_xlnm._FilterDatabase" localSheetId="10" hidden="1">'Auswertung'!$A$4:$K$351</definedName>
    <definedName name="_xlnm._FilterDatabase" localSheetId="11" hidden="1">'Rechtschreibung'!$A$4:$D$89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8"/>
    </font>
    <font>
      <name val="Calibri"/>
      <b val="1"/>
      <color rgb="00FFFFFF"/>
      <sz val="12"/>
    </font>
    <font>
      <b val="1"/>
      <color rgb="001F3A5F"/>
      <sz val="13"/>
    </font>
    <font>
      <name val="Calibri"/>
      <b val="1"/>
      <color rgb="001F3A5F"/>
      <sz val="11"/>
    </font>
    <font>
      <name val="Calibri"/>
      <sz val="11"/>
    </font>
    <font>
      <b val="1"/>
      <color rgb="00C55A11"/>
      <sz val="11"/>
    </font>
    <font>
      <name val="Calibri"/>
      <i val="1"/>
      <color rgb="00808080"/>
      <sz val="10"/>
    </font>
    <font>
      <name val="Calibri"/>
      <b val="1"/>
      <color rgb="00FFFFFF"/>
      <sz val="11"/>
    </font>
    <font>
      <name val="Calibri"/>
      <color rgb="00404040"/>
      <sz val="11"/>
    </font>
    <font>
      <b val="1"/>
      <color rgb="00C55A11"/>
      <sz val="13"/>
    </font>
    <font>
      <b val="1"/>
      <color rgb="001F3A5F"/>
      <sz val="11"/>
    </font>
    <font>
      <b val="1"/>
      <color rgb="00FFFFFF"/>
      <sz val="12"/>
    </font>
    <font>
      <color rgb="00C00000"/>
      <sz val="11"/>
    </font>
    <font>
      <b val="1"/>
      <color rgb="001F7A3D"/>
      <sz val="11"/>
    </font>
  </fonts>
  <fills count="9">
    <fill>
      <patternFill/>
    </fill>
    <fill>
      <patternFill patternType="gray125"/>
    </fill>
    <fill>
      <patternFill patternType="solid">
        <fgColor rgb="001F3A5F"/>
      </patternFill>
    </fill>
    <fill>
      <patternFill patternType="solid">
        <fgColor rgb="002E5C8A"/>
      </patternFill>
    </fill>
    <fill>
      <patternFill patternType="solid">
        <fgColor rgb="00DCE6F1"/>
      </patternFill>
    </fill>
    <fill>
      <patternFill patternType="solid">
        <fgColor rgb="00F2F6FB"/>
      </patternFill>
    </fill>
    <fill>
      <patternFill patternType="solid">
        <fgColor rgb="00FFF7E6"/>
      </patternFill>
    </fill>
    <fill>
      <patternFill patternType="solid">
        <fgColor rgb="00EFEFEF"/>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0" fillId="3" borderId="0" pivotButton="0" quotePrefix="0" xfId="0"/>
    <xf numFmtId="0" fontId="3" fillId="4" borderId="0" applyAlignment="1" pivotButton="0" quotePrefix="0" xfId="0">
      <alignment horizontal="left" vertical="center"/>
    </xf>
    <xf numFmtId="0" fontId="0" fillId="4"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xf>
    <xf numFmtId="0" fontId="8" fillId="3"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5" fillId="5"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4" fillId="0" borderId="0" applyAlignment="1" pivotButton="0" quotePrefix="0" xfId="0">
      <alignment horizontal="right" vertical="center"/>
    </xf>
    <xf numFmtId="0" fontId="5" fillId="6" borderId="1" applyAlignment="1" pivotButton="0" quotePrefix="0" xfId="0">
      <alignment horizontal="left" vertical="center"/>
    </xf>
    <xf numFmtId="0" fontId="0" fillId="6" borderId="1" pivotButton="0" quotePrefix="0" xfId="0"/>
    <xf numFmtId="0" fontId="9" fillId="7" borderId="1" applyAlignment="1" pivotButton="0" quotePrefix="0" xfId="0">
      <alignment horizontal="left" vertical="center"/>
    </xf>
    <xf numFmtId="0" fontId="9" fillId="7" borderId="1" applyAlignment="1" pivotButton="0" quotePrefix="0" xfId="0">
      <alignment horizontal="center" vertical="center"/>
    </xf>
    <xf numFmtId="4" fontId="5" fillId="6" borderId="1" applyAlignment="1" pivotButton="0" quotePrefix="0" xfId="0">
      <alignment horizontal="center" vertical="center"/>
    </xf>
    <xf numFmtId="0" fontId="10" fillId="6" borderId="1" applyAlignment="1" pivotButton="0" quotePrefix="0" xfId="0">
      <alignment horizontal="left" vertical="center"/>
    </xf>
    <xf numFmtId="0" fontId="11" fillId="0" borderId="0" applyAlignment="1" pivotButton="0" quotePrefix="0" xfId="0">
      <alignment horizontal="left" vertical="center"/>
    </xf>
    <xf numFmtId="0" fontId="5" fillId="6" borderId="1" applyAlignment="1" pivotButton="0" quotePrefix="0" xfId="0">
      <alignment horizontal="center" vertical="center"/>
    </xf>
    <xf numFmtId="4" fontId="5" fillId="0" borderId="1" applyAlignment="1" pivotButton="0" quotePrefix="0" xfId="0">
      <alignment horizontal="center" vertical="center"/>
    </xf>
    <xf numFmtId="4" fontId="11" fillId="0" borderId="1" applyAlignment="1" pivotButton="0" quotePrefix="0" xfId="0">
      <alignment horizontal="center" vertical="center"/>
    </xf>
    <xf numFmtId="4" fontId="5" fillId="5" borderId="1" applyAlignment="1" pivotButton="0" quotePrefix="0" xfId="0">
      <alignment horizontal="center" vertical="center"/>
    </xf>
    <xf numFmtId="4" fontId="11" fillId="5" borderId="1" applyAlignment="1" pivotButton="0" quotePrefix="0" xfId="0">
      <alignment horizontal="center" vertical="center"/>
    </xf>
    <xf numFmtId="0" fontId="12" fillId="8" borderId="0" applyAlignment="1" pivotButton="0" quotePrefix="0" xfId="0">
      <alignment horizontal="left" vertical="center"/>
    </xf>
    <xf numFmtId="0" fontId="0" fillId="8" borderId="0" pivotButton="0" quotePrefix="0" xfId="0"/>
    <xf numFmtId="0" fontId="5"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5"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4" customWidth="1" min="1" max="1"/>
    <col width="34" customWidth="1" min="2" max="2"/>
    <col width="96" customWidth="1" min="3" max="3"/>
  </cols>
  <sheetData>
    <row r="1" ht="30" customHeight="1">
      <c r="A1" s="1" t="inlineStr">
        <is>
          <t>Inventur – Anleitung</t>
        </is>
      </c>
      <c r="B1" s="2" t="n"/>
      <c r="C1" s="2" t="n"/>
    </row>
    <row r="2" ht="20" customHeight="1">
      <c r="A2" s="3" t="inlineStr">
        <is>
          <t>Vier Jahreszeiten Schluchsee</t>
        </is>
      </c>
      <c r="B2" s="4" t="n"/>
      <c r="C2" s="4" t="n"/>
    </row>
    <row r="4" ht="24" customHeight="1">
      <c r="B4" s="5" t="inlineStr">
        <is>
          <t>So arbeitest du mit dieser Datei</t>
        </is>
      </c>
      <c r="C4" s="6" t="n"/>
    </row>
    <row r="6" ht="45" customHeight="1">
      <c r="B6" s="7" t="inlineStr">
        <is>
          <t>1. Blatt „Artikelstamm“ prüfen</t>
        </is>
      </c>
      <c r="C6" s="8" t="inlineStr">
        <is>
          <t>Hier stehen alle Artikel des Hauptmagazins mit korrekter Schreibweise, Gebinde, Einheit, Lieferant und Lagerort. Prüfe und ergänze die Spalte „Lieferant“ mit deinen echten Lieferanten (Auswahl kommt aus dem Blatt „Listen“). Artikel, die ihr nicht führt, einfach löschen.</t>
        </is>
      </c>
    </row>
    <row r="7" ht="30" customHeight="1">
      <c r="B7" s="7" t="inlineStr">
        <is>
          <t>2. Zählblätter ausfüllen</t>
        </is>
      </c>
      <c r="C7" s="8" t="inlineStr">
        <is>
          <t>Für jede Zählstelle gibt es ein eigenes, leeres Blatt: Hauptmagazin, Panorama, Kachelofen, Gugelhupf, Lucia und Bar. Du füllst nur zwei Spalten aus: „Artikel“ und „Bestand (gezählt)“.</t>
        </is>
      </c>
    </row>
    <row r="8" ht="60" customHeight="1">
      <c r="B8" s="7" t="inlineStr">
        <is>
          <t>3. Artikel auswählen</t>
        </is>
      </c>
      <c r="C8" s="8" t="inlineStr">
        <is>
          <t>Klick in die Spalte „Artikel“ → rechts erscheint ein Pfeil für die Auswahlliste. Der Artikelstamm ist alphabetisch sortiert, dadurch stehen alle Varianten direkt untereinander: Coca-Cola 0,2 l Glas, Coca-Cola 0,33 l Glas, Coca-Cola 1,0 l PET, Coca-Cola light 0,2 l Glas, Coca-Cola Zero Sugar 0,2 l und 0,33 l. Du siehst die Größen also nebeneinander und wählst die richtige aus.</t>
        </is>
      </c>
    </row>
    <row r="9" ht="60" customHeight="1">
      <c r="B9" s="7" t="inlineStr">
        <is>
          <t xml:space="preserve">     Tipp je nach Excel-Version</t>
        </is>
      </c>
      <c r="C9" s="8" t="inlineStr">
        <is>
          <t>In Microsoft 365 filtert die Auswahlliste schon beim Tippen mit. In älteren Excel-Versionen und in LibreOffice filtert sie nicht – dort die Liste aufklappen und den Anfangsbuchstaben drücken („C“ springt zu Coca-Cola). Wer lieber tippt: im Blatt „Suche“ nachschlagen und den Namen herüberkopieren – das funktioniert in jeder Version.</t>
        </is>
      </c>
    </row>
    <row r="10" ht="30" customHeight="1">
      <c r="B10" s="7" t="inlineStr">
        <is>
          <t>4. Die Infos kommen automatisch</t>
        </is>
      </c>
      <c r="C10" s="8" t="inlineStr">
        <is>
          <t>Sobald der Artikel steht, füllen sich Warengruppe, Gebinde/Größe, Einheit und Lieferant von selbst (graue Spalten). Du musst nichts nachschlagen.</t>
        </is>
      </c>
    </row>
    <row r="11" ht="45" customHeight="1">
      <c r="B11" s="7" t="inlineStr">
        <is>
          <t>5. Überschreiben ist erlaubt</t>
        </is>
      </c>
      <c r="C11" s="8" t="inlineStr">
        <is>
          <t>Der Vorschlag ist nur ein Vorschlag. Du kannst in die Spalte „Artikel“ auch etwas ganz anderes schreiben – es kommt keine Fehlermeldung. Auch die grauen Spalten darfst du überschreiben; dann gilt dein Text statt der Automatik (nur in dieser einen Zeile).</t>
        </is>
      </c>
    </row>
    <row r="12" ht="30" customHeight="1">
      <c r="B12" s="7" t="inlineStr">
        <is>
          <t>6. Neue Artikel erkennen</t>
        </is>
      </c>
      <c r="C12" s="8" t="inlineStr">
        <is>
          <t>Steht ein Artikel noch nicht im Artikelstamm, zeigt die Spalte „Status“ automatisch „NEU – in Artikelstamm aufnehmen“. Über den Filter in der Kopfzeile kannst du alle NEU-Zeilen auf einen Blick herausfiltern.</t>
        </is>
      </c>
    </row>
    <row r="13" ht="45" customHeight="1">
      <c r="B13" s="7" t="inlineStr">
        <is>
          <t>7. Neue Artikel übernehmen</t>
        </is>
      </c>
      <c r="C13" s="8" t="inlineStr">
        <is>
          <t>Trage die neuen Artikel im Blatt „Neue Artikel“ vollständig ein (Gebinde, Einheit, Lieferant …) und kopiere die fertigen Zeilen danach unten an den Artikelstamm an. Die Auswahlliste wächst automatisch mit – sie muss nicht angepasst werden.</t>
        </is>
      </c>
    </row>
    <row r="14" ht="60" customHeight="1">
      <c r="B14" s="7" t="inlineStr">
        <is>
          <t>8. Blatt „Suche“ benutzen</t>
        </is>
      </c>
      <c r="C14" s="8" t="inlineStr">
        <is>
          <t>Wenn du nur wissen willst, welche Varianten es gibt: Im Blatt „Suche“ ein Stichwort eintippen (z. B. „cola“, „burgunder“, „wasser“, „reiniger“) – darunter erscheinen sofort alle Treffer mit Gebinde, Einheit, Inhalt, Lieferant, Warengruppe und Lagerort. Gesucht wird in Artikelname, Warengruppe und Lieferant, an beliebiger Stelle im Wort.</t>
        </is>
      </c>
    </row>
    <row r="15" ht="30" customHeight="1">
      <c r="B15" s="7" t="inlineStr">
        <is>
          <t>9. Blatt „Auswertung“</t>
        </is>
      </c>
      <c r="C15" s="8" t="inlineStr">
        <is>
          <t>Zählt alle sechs Zählstellen je Artikel zusammen und zeigt die Gesamtsumme. Rein rechnend – hier musst du nichts eintragen.</t>
        </is>
      </c>
    </row>
    <row r="16" ht="30" customHeight="1">
      <c r="B16" s="7" t="inlineStr">
        <is>
          <t>10. Blatt „Rechtschreibung“</t>
        </is>
      </c>
      <c r="C16" s="8" t="inlineStr">
        <is>
          <t>Nachschlagewerk mit den Schreibweisen, die erfahrungsgemäß am häufigsten falsch erfasst werden (Marken, Rebsorten, Küchenbegriffe) – jeweils mit der korrekten Form und einer kurzen Begründung.</t>
        </is>
      </c>
    </row>
    <row r="18" ht="24" customHeight="1">
      <c r="B18" s="5" t="inlineStr">
        <is>
          <t>Farblegende</t>
        </is>
      </c>
      <c r="C18" s="6" t="n"/>
    </row>
    <row r="20" ht="30" customHeight="1">
      <c r="B20" s="9" t="inlineStr">
        <is>
          <t>Weiß / gelblich</t>
        </is>
      </c>
      <c r="C20" s="8" t="inlineStr">
        <is>
          <t>Felder, die du selbst ausfüllst (Artikel, Bestand, Bemerkung).</t>
        </is>
      </c>
    </row>
    <row r="21" ht="30" customHeight="1">
      <c r="B21" s="9" t="inlineStr">
        <is>
          <t>Grau hinterlegt</t>
        </is>
      </c>
      <c r="C21" s="8" t="inlineStr">
        <is>
          <t>Wird automatisch gefüllt. Darfst du bei Bedarf überschreiben.</t>
        </is>
      </c>
    </row>
    <row r="22" ht="30" customHeight="1">
      <c r="B22" s="9" t="inlineStr">
        <is>
          <t>Dunkelblau</t>
        </is>
      </c>
      <c r="C22" s="8" t="inlineStr">
        <is>
          <t>Überschriften – bitte nicht verändern, sonst stimmen die Formeln nicht.</t>
        </is>
      </c>
    </row>
    <row r="24" ht="24" customHeight="1">
      <c r="B24" s="5" t="inlineStr">
        <is>
          <t>Wichtiger Hinweis zur Ausgangsdatei</t>
        </is>
      </c>
      <c r="C24" s="6" t="n"/>
    </row>
    <row r="26" ht="60" customHeight="1">
      <c r="B26" s="9" t="inlineStr">
        <is>
          <t>Die hochgeladene Datei war leer</t>
        </is>
      </c>
      <c r="C26" s="8" t="inlineStr">
        <is>
          <t>Die Datei „Inventur_Vier_Jahreszeiten_Schluchsee_2026-09-30_copy_2.xlsx“ enthielt nur das Grundgerüst: Kopfzeile, Spaltenüberschriften und 200 leere Zeilen, dazu die Auswahllisten für Einheiten und Lager. Es war kein einziger Artikel darin gespeichert. Der Artikelstamm in dieser Mappe ist deshalb ein fachlich recherchierter Vorschlag für ein Schwarzwald-Hotel und kein Abbild eurer tatsächlichen Bestände.</t>
        </is>
      </c>
    </row>
    <row r="27" ht="45" customHeight="1">
      <c r="B27" s="9" t="inlineStr">
        <is>
          <t>Bitte gegenprüfen</t>
        </is>
      </c>
      <c r="C27" s="8" t="inlineStr">
        <is>
          <t>Vor allem die Spalten „Lieferant“, „Gebinde / Größe“ und „Inhalt je Gebinde“ sind sinnvolle Standardwerte, keine bestätigten Daten aus eurem Warenwirtschaftssystem. Die Lieferanten stehen bewusst als Kategorie („Getränkefachgroßhandel“, „Weinhandel“ …) drin – ersetze sie durch eure echten Lieferanten im Blatt „Listen“.</t>
        </is>
      </c>
    </row>
    <row r="28" ht="30" customHeight="1">
      <c r="B28" s="9" t="inlineStr">
        <is>
          <t>Schreibweise der Zählstellen</t>
        </is>
      </c>
      <c r="C28" s="8" t="inlineStr">
        <is>
          <t>Korrigiert übernommen: „Kachelofen“ (mit einem f) und „Gugelhupf“. Panorama, Lucia und Bar waren bereits richtig.</t>
        </is>
      </c>
    </row>
  </sheetData>
  <mergeCells count="5">
    <mergeCell ref="B24:C24"/>
    <mergeCell ref="A1:C1"/>
    <mergeCell ref="B18:C18"/>
    <mergeCell ref="B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30" customWidth="1" min="3" max="3"/>
    <col width="22" customWidth="1" min="4" max="4"/>
    <col width="12" customWidth="1" min="5" max="5"/>
    <col width="22" customWidth="1" min="6" max="6"/>
    <col width="28" customWidth="1" min="7" max="7"/>
    <col width="17" customWidth="1" min="8" max="8"/>
    <col width="26" customWidth="1" min="9" max="9"/>
    <col hidden="1" width="13" customWidth="1" min="11" max="11"/>
    <col hidden="1" width="13" customWidth="1" min="12" max="12"/>
  </cols>
  <sheetData>
    <row r="1" ht="30" customHeight="1">
      <c r="A1" s="1" t="inlineStr">
        <is>
          <t>Artikelstamm Hauptmagazin</t>
        </is>
      </c>
      <c r="B1" s="2" t="n"/>
      <c r="C1" s="2" t="n"/>
      <c r="D1" s="2" t="n"/>
      <c r="E1" s="2" t="n"/>
      <c r="F1" s="2" t="n"/>
      <c r="G1" s="2" t="n"/>
      <c r="H1" s="2" t="n"/>
      <c r="I1" s="2" t="n"/>
    </row>
    <row r="2" ht="20" customHeight="1">
      <c r="A2" s="3" t="inlineStr">
        <is>
          <t>Vier Jahreszeiten Schluchsee</t>
        </is>
      </c>
      <c r="B2" s="4" t="n"/>
      <c r="C2" s="4" t="n"/>
      <c r="D2" s="4" t="n"/>
      <c r="E2" s="4" t="n"/>
      <c r="F2" s="4" t="n"/>
      <c r="G2" s="4" t="n"/>
      <c r="H2" s="4" t="n"/>
      <c r="I2" s="4" t="n"/>
    </row>
    <row r="3" ht="18" customHeight="1">
      <c r="A3" s="10" t="inlineStr">
        <is>
          <t>Alphabetisch sortiert – so stehen alle Varianten eines Artikels beieinander. Die Spalte „Artikel“ ist die Suchgrundlage für alle Zählblätter. Neue Artikel einfach unten anfügen (Reihenfolge egal, die Auswahlliste wächst automatisch mit). Über den Filter in Zeile 4 lässt sich jederzeit nach Warengruppe oder Lagerort einschränken.</t>
        </is>
      </c>
    </row>
    <row r="4" ht="26" customHeight="1">
      <c r="A4" s="11" t="inlineStr">
        <is>
          <t>Art.-Nr.</t>
        </is>
      </c>
      <c r="B4" s="11" t="inlineStr">
        <is>
          <t>Artikel</t>
        </is>
      </c>
      <c r="C4" s="11" t="inlineStr">
        <is>
          <t>Warengruppe</t>
        </is>
      </c>
      <c r="D4" s="11" t="inlineStr">
        <is>
          <t>Gebinde / Größe</t>
        </is>
      </c>
      <c r="E4" s="11" t="inlineStr">
        <is>
          <t>Einheit</t>
        </is>
      </c>
      <c r="F4" s="11" t="inlineStr">
        <is>
          <t>Inhalt je Gebinde</t>
        </is>
      </c>
      <c r="G4" s="11" t="inlineStr">
        <is>
          <t>Lieferant</t>
        </is>
      </c>
      <c r="H4" s="11" t="inlineStr">
        <is>
          <t>Lagerort</t>
        </is>
      </c>
      <c r="I4" s="11" t="inlineStr">
        <is>
          <t>Bemerkung</t>
        </is>
      </c>
    </row>
    <row r="5">
      <c r="A5" s="12" t="inlineStr">
        <is>
          <t>42-006</t>
        </is>
      </c>
      <c r="B5" s="13" t="inlineStr">
        <is>
          <t>Absolut Vodka 0,7 l</t>
        </is>
      </c>
      <c r="C5" s="14" t="inlineStr">
        <is>
          <t>Spirituosen – Gin &amp; Wodka</t>
        </is>
      </c>
      <c r="D5" s="14" t="inlineStr">
        <is>
          <t>Flasche 0,7 l</t>
        </is>
      </c>
      <c r="E5" s="12" t="inlineStr">
        <is>
          <t>Flasche</t>
        </is>
      </c>
      <c r="F5" s="14" t="inlineStr">
        <is>
          <t>1 Flasche</t>
        </is>
      </c>
      <c r="G5" s="14" t="inlineStr">
        <is>
          <t>Spirituosenhandel</t>
        </is>
      </c>
      <c r="H5" s="14" t="inlineStr">
        <is>
          <t>Keller</t>
        </is>
      </c>
      <c r="I5" s="14" t="inlineStr"/>
      <c r="K5">
        <f>IF($B5="",0,IF(Suche!$B$4="",1,IF(ISNUMBER(SEARCH(Suche!$B$4,$B5&amp;" "&amp;$C5&amp;" "&amp;$G5)),1,0)))</f>
        <v/>
      </c>
      <c r="L5">
        <f>IF($K5=0,"",SUM($K$5:$K5))</f>
        <v/>
      </c>
    </row>
    <row r="6">
      <c r="A6" s="15" t="inlineStr">
        <is>
          <t>10-015</t>
        </is>
      </c>
      <c r="B6" s="16" t="inlineStr">
        <is>
          <t>Acqua Panna 0,75 l Glas</t>
        </is>
      </c>
      <c r="C6" s="17" t="inlineStr">
        <is>
          <t>AFG – Mineralwasser</t>
        </is>
      </c>
      <c r="D6" s="17" t="inlineStr">
        <is>
          <t>Kasten 12 × 0,75 l</t>
        </is>
      </c>
      <c r="E6" s="15" t="inlineStr">
        <is>
          <t>Flasche</t>
        </is>
      </c>
      <c r="F6" s="17" t="inlineStr">
        <is>
          <t>12 Flaschen/Kasten</t>
        </is>
      </c>
      <c r="G6" s="17" t="inlineStr">
        <is>
          <t>Getränkefachgroßhandel</t>
        </is>
      </c>
      <c r="H6" s="17" t="inlineStr">
        <is>
          <t>Getränkelager</t>
        </is>
      </c>
      <c r="I6" s="17" t="inlineStr"/>
      <c r="K6">
        <f>IF($B6="",0,IF(Suche!$B$4="",1,IF(ISNUMBER(SEARCH(Suche!$B$4,$B6&amp;" "&amp;$C6&amp;" "&amp;$G6)),1,0)))</f>
        <v/>
      </c>
      <c r="L6">
        <f>IF($K6=0,"",SUM($K$5:$K6))</f>
        <v/>
      </c>
    </row>
    <row r="7">
      <c r="A7" s="12" t="inlineStr">
        <is>
          <t>81-001</t>
        </is>
      </c>
      <c r="B7" s="13" t="inlineStr">
        <is>
          <t>Allzweckreiniger 1 l</t>
        </is>
      </c>
      <c r="C7" s="14" t="inlineStr">
        <is>
          <t>Housekeeping – Reinigung</t>
        </is>
      </c>
      <c r="D7" s="14" t="inlineStr">
        <is>
          <t>Flasche 1 l</t>
        </is>
      </c>
      <c r="E7" s="12" t="inlineStr">
        <is>
          <t>Flasche</t>
        </is>
      </c>
      <c r="F7" s="14" t="inlineStr">
        <is>
          <t>1 l/Flasche</t>
        </is>
      </c>
      <c r="G7" s="14" t="inlineStr">
        <is>
          <t>Hygiene- &amp; Reinigungsbedarf</t>
        </is>
      </c>
      <c r="H7" s="14" t="inlineStr">
        <is>
          <t>Housekeeping</t>
        </is>
      </c>
      <c r="I7" s="14" t="inlineStr"/>
      <c r="K7">
        <f>IF($B7="",0,IF(Suche!$B$4="",1,IF(ISNUMBER(SEARCH(Suche!$B$4,$B7&amp;" "&amp;$C7&amp;" "&amp;$G7)),1,0)))</f>
        <v/>
      </c>
      <c r="L7">
        <f>IF($K7=0,"",SUM($K$5:$K7))</f>
        <v/>
      </c>
    </row>
    <row r="8">
      <c r="A8" s="15" t="inlineStr">
        <is>
          <t>11-020</t>
        </is>
      </c>
      <c r="B8" s="16" t="inlineStr">
        <is>
          <t>Almdudler 0,35 l Glas</t>
        </is>
      </c>
      <c r="C8" s="17" t="inlineStr">
        <is>
          <t>AFG – Limonaden</t>
        </is>
      </c>
      <c r="D8" s="17" t="inlineStr">
        <is>
          <t>Kasten 24 × 0,35 l</t>
        </is>
      </c>
      <c r="E8" s="15" t="inlineStr">
        <is>
          <t>Flasche</t>
        </is>
      </c>
      <c r="F8" s="17" t="inlineStr">
        <is>
          <t>24 Flaschen/Kasten</t>
        </is>
      </c>
      <c r="G8" s="17" t="inlineStr">
        <is>
          <t>Getränkefachgroßhandel</t>
        </is>
      </c>
      <c r="H8" s="17" t="inlineStr">
        <is>
          <t>Getränkelager</t>
        </is>
      </c>
      <c r="I8" s="17" t="inlineStr"/>
      <c r="K8">
        <f>IF($B8="",0,IF(Suche!$B$4="",1,IF(ISNUMBER(SEARCH(Suche!$B$4,$B8&amp;" "&amp;$C8&amp;" "&amp;$G8)),1,0)))</f>
        <v/>
      </c>
      <c r="L8">
        <f>IF($K8=0,"",SUM($K$5:$K8))</f>
        <v/>
      </c>
    </row>
    <row r="9">
      <c r="A9" s="12" t="inlineStr">
        <is>
          <t>20-010</t>
        </is>
      </c>
      <c r="B9" s="13" t="inlineStr">
        <is>
          <t>Alpirsbacher Klosterbräu Pils 0,33 l Glas</t>
        </is>
      </c>
      <c r="C9" s="14" t="inlineStr">
        <is>
          <t>Bier</t>
        </is>
      </c>
      <c r="D9" s="14" t="inlineStr">
        <is>
          <t>Kasten 24 × 0,33 l</t>
        </is>
      </c>
      <c r="E9" s="12" t="inlineStr">
        <is>
          <t>Flasche</t>
        </is>
      </c>
      <c r="F9" s="14" t="inlineStr">
        <is>
          <t>24 Flaschen/Kasten</t>
        </is>
      </c>
      <c r="G9" s="14" t="inlineStr">
        <is>
          <t>Getränkefachgroßhandel</t>
        </is>
      </c>
      <c r="H9" s="14" t="inlineStr">
        <is>
          <t>Getränkelager</t>
        </is>
      </c>
      <c r="I9" s="14" t="inlineStr"/>
      <c r="K9">
        <f>IF($B9="",0,IF(Suche!$B$4="",1,IF(ISNUMBER(SEARCH(Suche!$B$4,$B9&amp;" "&amp;$C9&amp;" "&amp;$G9)),1,0)))</f>
        <v/>
      </c>
      <c r="L9">
        <f>IF($K9=0,"",SUM($K$5:$K9))</f>
        <v/>
      </c>
    </row>
    <row r="10">
      <c r="A10" s="15" t="inlineStr">
        <is>
          <t>90-004</t>
        </is>
      </c>
      <c r="B10" s="16" t="inlineStr">
        <is>
          <t>Alufolie 30 cm</t>
        </is>
      </c>
      <c r="C10" s="17" t="inlineStr">
        <is>
          <t>Verbrauchsmaterial Service</t>
        </is>
      </c>
      <c r="D10" s="17" t="inlineStr">
        <is>
          <t>Rolle 150 m</t>
        </is>
      </c>
      <c r="E10" s="15" t="inlineStr">
        <is>
          <t>Rolle</t>
        </is>
      </c>
      <c r="F10" s="17" t="inlineStr">
        <is>
          <t>150 m/Rolle</t>
        </is>
      </c>
      <c r="G10" s="17" t="inlineStr">
        <is>
          <t>Lebensmittelgroßhandel</t>
        </is>
      </c>
      <c r="H10" s="17" t="inlineStr">
        <is>
          <t>Keller</t>
        </is>
      </c>
      <c r="I10" s="17" t="inlineStr"/>
      <c r="K10">
        <f>IF($B10="",0,IF(Suche!$B$4="",1,IF(ISNUMBER(SEARCH(Suche!$B$4,$B10&amp;" "&amp;$C10&amp;" "&amp;$G10)),1,0)))</f>
        <v/>
      </c>
      <c r="L10">
        <f>IF($K10=0,"",SUM($K$5:$K10))</f>
        <v/>
      </c>
    </row>
    <row r="11">
      <c r="A11" s="12" t="inlineStr">
        <is>
          <t>12-006</t>
        </is>
      </c>
      <c r="B11" s="13" t="inlineStr">
        <is>
          <t>Ananassaft 1,0 l Glas</t>
        </is>
      </c>
      <c r="C11" s="14" t="inlineStr">
        <is>
          <t>AFG – Säfte &amp; Nektare</t>
        </is>
      </c>
      <c r="D11" s="14" t="inlineStr">
        <is>
          <t>Kasten 6 × 1,0 l</t>
        </is>
      </c>
      <c r="E11" s="12" t="inlineStr">
        <is>
          <t>Flasche</t>
        </is>
      </c>
      <c r="F11" s="14" t="inlineStr">
        <is>
          <t>6 Flaschen/Kasten</t>
        </is>
      </c>
      <c r="G11" s="14" t="inlineStr">
        <is>
          <t>Getränkefachgroßhandel</t>
        </is>
      </c>
      <c r="H11" s="14" t="inlineStr">
        <is>
          <t>Getränkelager</t>
        </is>
      </c>
      <c r="I11" s="14" t="inlineStr"/>
      <c r="K11">
        <f>IF($B11="",0,IF(Suche!$B$4="",1,IF(ISNUMBER(SEARCH(Suche!$B$4,$B11&amp;" "&amp;$C11&amp;" "&amp;$G11)),1,0)))</f>
        <v/>
      </c>
      <c r="L11">
        <f>IF($K11=0,"",SUM($K$5:$K11))</f>
        <v/>
      </c>
    </row>
    <row r="12">
      <c r="A12" s="15" t="inlineStr">
        <is>
          <t>41-007</t>
        </is>
      </c>
      <c r="B12" s="16" t="inlineStr">
        <is>
          <t>Aperol 0,7 l</t>
        </is>
      </c>
      <c r="C12" s="17" t="inlineStr">
        <is>
          <t>Spirituosen – Bitter &amp; Aperitif</t>
        </is>
      </c>
      <c r="D12" s="17" t="inlineStr">
        <is>
          <t>Flasche 0,7 l</t>
        </is>
      </c>
      <c r="E12" s="15" t="inlineStr">
        <is>
          <t>Flasche</t>
        </is>
      </c>
      <c r="F12" s="17" t="inlineStr">
        <is>
          <t>1 Flasche</t>
        </is>
      </c>
      <c r="G12" s="17" t="inlineStr">
        <is>
          <t>Spirituosenhandel</t>
        </is>
      </c>
      <c r="H12" s="17" t="inlineStr">
        <is>
          <t>Keller</t>
        </is>
      </c>
      <c r="I12" s="17" t="inlineStr"/>
      <c r="K12">
        <f>IF($B12="",0,IF(Suche!$B$4="",1,IF(ISNUMBER(SEARCH(Suche!$B$4,$B12&amp;" "&amp;$C12&amp;" "&amp;$G12)),1,0)))</f>
        <v/>
      </c>
      <c r="L12">
        <f>IF($K12=0,"",SUM($K$5:$K12))</f>
        <v/>
      </c>
    </row>
    <row r="13">
      <c r="A13" s="12" t="inlineStr">
        <is>
          <t>12-002</t>
        </is>
      </c>
      <c r="B13" s="13" t="inlineStr">
        <is>
          <t>Apfelsaft klar 1,0 l Glas</t>
        </is>
      </c>
      <c r="C13" s="14" t="inlineStr">
        <is>
          <t>AFG – Säfte &amp; Nektare</t>
        </is>
      </c>
      <c r="D13" s="14" t="inlineStr">
        <is>
          <t>Kasten 6 × 1,0 l</t>
        </is>
      </c>
      <c r="E13" s="12" t="inlineStr">
        <is>
          <t>Flasche</t>
        </is>
      </c>
      <c r="F13" s="14" t="inlineStr">
        <is>
          <t>6 Flaschen/Kasten</t>
        </is>
      </c>
      <c r="G13" s="14" t="inlineStr">
        <is>
          <t>Getränkefachgroßhandel</t>
        </is>
      </c>
      <c r="H13" s="14" t="inlineStr">
        <is>
          <t>Getränkelager</t>
        </is>
      </c>
      <c r="I13" s="14" t="inlineStr"/>
      <c r="K13">
        <f>IF($B13="",0,IF(Suche!$B$4="",1,IF(ISNUMBER(SEARCH(Suche!$B$4,$B13&amp;" "&amp;$C13&amp;" "&amp;$G13)),1,0)))</f>
        <v/>
      </c>
      <c r="L13">
        <f>IF($K13=0,"",SUM($K$5:$K13))</f>
        <v/>
      </c>
    </row>
    <row r="14">
      <c r="A14" s="15" t="inlineStr">
        <is>
          <t>12-003</t>
        </is>
      </c>
      <c r="B14" s="16" t="inlineStr">
        <is>
          <t>Apfelsaft naturtrüb 1,0 l Glas</t>
        </is>
      </c>
      <c r="C14" s="17" t="inlineStr">
        <is>
          <t>AFG – Säfte &amp; Nektare</t>
        </is>
      </c>
      <c r="D14" s="17" t="inlineStr">
        <is>
          <t>Kasten 6 × 1,0 l</t>
        </is>
      </c>
      <c r="E14" s="15" t="inlineStr">
        <is>
          <t>Flasche</t>
        </is>
      </c>
      <c r="F14" s="17" t="inlineStr">
        <is>
          <t>6 Flaschen/Kasten</t>
        </is>
      </c>
      <c r="G14" s="17" t="inlineStr">
        <is>
          <t>Getränkefachgroßhandel</t>
        </is>
      </c>
      <c r="H14" s="17" t="inlineStr">
        <is>
          <t>Getränkelager</t>
        </is>
      </c>
      <c r="I14" s="17" t="inlineStr"/>
      <c r="K14">
        <f>IF($B14="",0,IF(Suche!$B$4="",1,IF(ISNUMBER(SEARCH(Suche!$B$4,$B14&amp;" "&amp;$C14&amp;" "&amp;$G14)),1,0)))</f>
        <v/>
      </c>
      <c r="L14">
        <f>IF($K14=0,"",SUM($K$5:$K14))</f>
        <v/>
      </c>
    </row>
    <row r="15">
      <c r="A15" s="12" t="inlineStr">
        <is>
          <t>11-021</t>
        </is>
      </c>
      <c r="B15" s="13" t="inlineStr">
        <is>
          <t>Apfelschorle 0,33 l Glas</t>
        </is>
      </c>
      <c r="C15" s="14" t="inlineStr">
        <is>
          <t>AFG – Limonaden</t>
        </is>
      </c>
      <c r="D15" s="14" t="inlineStr">
        <is>
          <t>Kasten 24 × 0,33 l</t>
        </is>
      </c>
      <c r="E15" s="12" t="inlineStr">
        <is>
          <t>Flasche</t>
        </is>
      </c>
      <c r="F15" s="14" t="inlineStr">
        <is>
          <t>24 Flaschen/Kasten</t>
        </is>
      </c>
      <c r="G15" s="14" t="inlineStr">
        <is>
          <t>Getränkefachgroßhandel</t>
        </is>
      </c>
      <c r="H15" s="14" t="inlineStr">
        <is>
          <t>Getränkelager</t>
        </is>
      </c>
      <c r="I15" s="14" t="inlineStr"/>
      <c r="K15">
        <f>IF($B15="",0,IF(Suche!$B$4="",1,IF(ISNUMBER(SEARCH(Suche!$B$4,$B15&amp;" "&amp;$C15&amp;" "&amp;$G15)),1,0)))</f>
        <v/>
      </c>
      <c r="L15">
        <f>IF($K15=0,"",SUM($K$5:$K15))</f>
        <v/>
      </c>
    </row>
    <row r="16">
      <c r="A16" s="15" t="inlineStr">
        <is>
          <t>11-022</t>
        </is>
      </c>
      <c r="B16" s="16" t="inlineStr">
        <is>
          <t>Apfelschorle 0,5 l Glas</t>
        </is>
      </c>
      <c r="C16" s="17" t="inlineStr">
        <is>
          <t>AFG – Limonaden</t>
        </is>
      </c>
      <c r="D16" s="17" t="inlineStr">
        <is>
          <t>Kasten 20 × 0,5 l</t>
        </is>
      </c>
      <c r="E16" s="15" t="inlineStr">
        <is>
          <t>Flasche</t>
        </is>
      </c>
      <c r="F16" s="17" t="inlineStr">
        <is>
          <t>20 Flaschen/Kasten</t>
        </is>
      </c>
      <c r="G16" s="17" t="inlineStr">
        <is>
          <t>Getränkefachgroßhandel</t>
        </is>
      </c>
      <c r="H16" s="17" t="inlineStr">
        <is>
          <t>Getränkelager</t>
        </is>
      </c>
      <c r="I16" s="17" t="inlineStr"/>
      <c r="K16">
        <f>IF($B16="",0,IF(Suche!$B$4="",1,IF(ISNUMBER(SEARCH(Suche!$B$4,$B16&amp;" "&amp;$C16&amp;" "&amp;$G16)),1,0)))</f>
        <v/>
      </c>
      <c r="L16">
        <f>IF($K16=0,"",SUM($K$5:$K16))</f>
        <v/>
      </c>
    </row>
    <row r="17">
      <c r="A17" s="12" t="inlineStr">
        <is>
          <t>10-011</t>
        </is>
      </c>
      <c r="B17" s="13" t="inlineStr">
        <is>
          <t>Apollinaris Classic 0,25 l Glas</t>
        </is>
      </c>
      <c r="C17" s="14" t="inlineStr">
        <is>
          <t>AFG – Mineralwasser</t>
        </is>
      </c>
      <c r="D17" s="14" t="inlineStr">
        <is>
          <t>Kasten 24 × 0,25 l</t>
        </is>
      </c>
      <c r="E17" s="12" t="inlineStr">
        <is>
          <t>Flasche</t>
        </is>
      </c>
      <c r="F17" s="14" t="inlineStr">
        <is>
          <t>24 Flaschen/Kasten</t>
        </is>
      </c>
      <c r="G17" s="14" t="inlineStr">
        <is>
          <t>Getränkefachgroßhandel</t>
        </is>
      </c>
      <c r="H17" s="14" t="inlineStr">
        <is>
          <t>Getränkelager</t>
        </is>
      </c>
      <c r="I17" s="14" t="inlineStr"/>
      <c r="K17">
        <f>IF($B17="",0,IF(Suche!$B$4="",1,IF(ISNUMBER(SEARCH(Suche!$B$4,$B17&amp;" "&amp;$C17&amp;" "&amp;$G17)),1,0)))</f>
        <v/>
      </c>
      <c r="L17">
        <f>IF($K17=0,"",SUM($K$5:$K17))</f>
        <v/>
      </c>
    </row>
    <row r="18">
      <c r="A18" s="15" t="inlineStr">
        <is>
          <t>10-012</t>
        </is>
      </c>
      <c r="B18" s="16" t="inlineStr">
        <is>
          <t>Apollinaris Selection 0,75 l Glas</t>
        </is>
      </c>
      <c r="C18" s="17" t="inlineStr">
        <is>
          <t>AFG – Mineralwasser</t>
        </is>
      </c>
      <c r="D18" s="17" t="inlineStr">
        <is>
          <t>Kasten 12 × 0,75 l</t>
        </is>
      </c>
      <c r="E18" s="15" t="inlineStr">
        <is>
          <t>Flasche</t>
        </is>
      </c>
      <c r="F18" s="17" t="inlineStr">
        <is>
          <t>12 Flaschen/Kasten</t>
        </is>
      </c>
      <c r="G18" s="17" t="inlineStr">
        <is>
          <t>Getränkefachgroßhandel</t>
        </is>
      </c>
      <c r="H18" s="17" t="inlineStr">
        <is>
          <t>Getränkelager</t>
        </is>
      </c>
      <c r="I18" s="17" t="inlineStr"/>
      <c r="K18">
        <f>IF($B18="",0,IF(Suche!$B$4="",1,IF(ISNUMBER(SEARCH(Suche!$B$4,$B18&amp;" "&amp;$C18&amp;" "&amp;$G18)),1,0)))</f>
        <v/>
      </c>
      <c r="L18">
        <f>IF($K18=0,"",SUM($K$5:$K18))</f>
        <v/>
      </c>
    </row>
    <row r="19">
      <c r="A19" s="12" t="inlineStr">
        <is>
          <t>44-010</t>
        </is>
      </c>
      <c r="B19" s="13" t="inlineStr">
        <is>
          <t>Asbach Uralt 0,7 l</t>
        </is>
      </c>
      <c r="C19" s="14" t="inlineStr">
        <is>
          <t>Spirituosen – Whisky &amp; Cognac</t>
        </is>
      </c>
      <c r="D19" s="14" t="inlineStr">
        <is>
          <t>Flasche 0,7 l</t>
        </is>
      </c>
      <c r="E19" s="12" t="inlineStr">
        <is>
          <t>Flasche</t>
        </is>
      </c>
      <c r="F19" s="14" t="inlineStr">
        <is>
          <t>1 Flasche</t>
        </is>
      </c>
      <c r="G19" s="14" t="inlineStr">
        <is>
          <t>Spirituosenhandel</t>
        </is>
      </c>
      <c r="H19" s="14" t="inlineStr">
        <is>
          <t>Keller</t>
        </is>
      </c>
      <c r="I19" s="14" t="inlineStr"/>
      <c r="K19">
        <f>IF($B19="",0,IF(Suche!$B$4="",1,IF(ISNUMBER(SEARCH(Suche!$B$4,$B19&amp;" "&amp;$C19&amp;" "&amp;$G19)),1,0)))</f>
        <v/>
      </c>
      <c r="L19">
        <f>IF($K19=0,"",SUM($K$5:$K19))</f>
        <v/>
      </c>
    </row>
    <row r="20">
      <c r="A20" s="15" t="inlineStr">
        <is>
          <t>30-017</t>
        </is>
      </c>
      <c r="B20" s="16" t="inlineStr">
        <is>
          <t>Auxerrois QbA trocken 0,75 l</t>
        </is>
      </c>
      <c r="C20" s="17" t="inlineStr">
        <is>
          <t>Wein – Weiß</t>
        </is>
      </c>
      <c r="D20" s="17" t="inlineStr">
        <is>
          <t>Karton 6 × 0,75 l</t>
        </is>
      </c>
      <c r="E20" s="15" t="inlineStr">
        <is>
          <t>Flasche</t>
        </is>
      </c>
      <c r="F20" s="17" t="inlineStr">
        <is>
          <t>6 Flaschen/Karton</t>
        </is>
      </c>
      <c r="G20" s="17" t="inlineStr">
        <is>
          <t>Weinhandel</t>
        </is>
      </c>
      <c r="H20" s="17" t="inlineStr">
        <is>
          <t>Weinkeller</t>
        </is>
      </c>
      <c r="I20" s="17" t="inlineStr"/>
      <c r="K20">
        <f>IF($B20="",0,IF(Suche!$B$4="",1,IF(ISNUMBER(SEARCH(Suche!$B$4,$B20&amp;" "&amp;$C20&amp;" "&amp;$G20)),1,0)))</f>
        <v/>
      </c>
      <c r="L20">
        <f>IF($K20=0,"",SUM($K$5:$K20))</f>
        <v/>
      </c>
    </row>
    <row r="21">
      <c r="A21" s="12" t="inlineStr">
        <is>
          <t>41-005</t>
        </is>
      </c>
      <c r="B21" s="13" t="inlineStr">
        <is>
          <t>Averna Amaro Siciliano 0,7 l</t>
        </is>
      </c>
      <c r="C21" s="14" t="inlineStr">
        <is>
          <t>Spirituosen – Bitter &amp; Aperitif</t>
        </is>
      </c>
      <c r="D21" s="14" t="inlineStr">
        <is>
          <t>Flasche 0,7 l</t>
        </is>
      </c>
      <c r="E21" s="12" t="inlineStr">
        <is>
          <t>Flasche</t>
        </is>
      </c>
      <c r="F21" s="14" t="inlineStr">
        <is>
          <t>1 Flasche</t>
        </is>
      </c>
      <c r="G21" s="14" t="inlineStr">
        <is>
          <t>Spirituosenhandel</t>
        </is>
      </c>
      <c r="H21" s="14" t="inlineStr">
        <is>
          <t>Keller</t>
        </is>
      </c>
      <c r="I21" s="14" t="inlineStr"/>
      <c r="K21">
        <f>IF($B21="",0,IF(Suche!$B$4="",1,IF(ISNUMBER(SEARCH(Suche!$B$4,$B21&amp;" "&amp;$C21&amp;" "&amp;$G21)),1,0)))</f>
        <v/>
      </c>
      <c r="L21">
        <f>IF($K21=0,"",SUM($K$5:$K21))</f>
        <v/>
      </c>
    </row>
    <row r="22">
      <c r="A22" s="15" t="inlineStr">
        <is>
          <t>43-001</t>
        </is>
      </c>
      <c r="B22" s="16" t="inlineStr">
        <is>
          <t>Bacardi Carta Blanca 0,7 l</t>
        </is>
      </c>
      <c r="C22" s="17" t="inlineStr">
        <is>
          <t>Spirituosen – Rum &amp; Tequila</t>
        </is>
      </c>
      <c r="D22" s="17" t="inlineStr">
        <is>
          <t>Flasche 0,7 l</t>
        </is>
      </c>
      <c r="E22" s="15" t="inlineStr">
        <is>
          <t>Flasche</t>
        </is>
      </c>
      <c r="F22" s="17" t="inlineStr">
        <is>
          <t>1 Flasche</t>
        </is>
      </c>
      <c r="G22" s="17" t="inlineStr">
        <is>
          <t>Spirituosenhandel</t>
        </is>
      </c>
      <c r="H22" s="17" t="inlineStr">
        <is>
          <t>Keller</t>
        </is>
      </c>
      <c r="I22" s="17" t="inlineStr"/>
      <c r="K22">
        <f>IF($B22="",0,IF(Suche!$B$4="",1,IF(ISNUMBER(SEARCH(Suche!$B$4,$B22&amp;" "&amp;$C22&amp;" "&amp;$G22)),1,0)))</f>
        <v/>
      </c>
      <c r="L22">
        <f>IF($K22=0,"",SUM($K$5:$K22))</f>
        <v/>
      </c>
    </row>
    <row r="23">
      <c r="A23" s="12" t="inlineStr">
        <is>
          <t>30-016</t>
        </is>
      </c>
      <c r="B23" s="13" t="inlineStr">
        <is>
          <t>Bacchus QbA lieblich 0,75 l</t>
        </is>
      </c>
      <c r="C23" s="14" t="inlineStr">
        <is>
          <t>Wein – Weiß</t>
        </is>
      </c>
      <c r="D23" s="14" t="inlineStr">
        <is>
          <t>Karton 6 × 0,75 l</t>
        </is>
      </c>
      <c r="E23" s="12" t="inlineStr">
        <is>
          <t>Flasche</t>
        </is>
      </c>
      <c r="F23" s="14" t="inlineStr">
        <is>
          <t>6 Flaschen/Karton</t>
        </is>
      </c>
      <c r="G23" s="14" t="inlineStr">
        <is>
          <t>Weinhandel</t>
        </is>
      </c>
      <c r="H23" s="14" t="inlineStr">
        <is>
          <t>Weinkeller</t>
        </is>
      </c>
      <c r="I23" s="14" t="inlineStr"/>
      <c r="K23">
        <f>IF($B23="",0,IF(Suche!$B$4="",1,IF(ISNUMBER(SEARCH(Suche!$B$4,$B23&amp;" "&amp;$C23&amp;" "&amp;$G23)),1,0)))</f>
        <v/>
      </c>
      <c r="L23">
        <f>IF($K23=0,"",SUM($K$5:$K23))</f>
        <v/>
      </c>
    </row>
    <row r="24">
      <c r="A24" s="15" t="inlineStr">
        <is>
          <t>90-006</t>
        </is>
      </c>
      <c r="B24" s="16" t="inlineStr">
        <is>
          <t>Backpapier</t>
        </is>
      </c>
      <c r="C24" s="17" t="inlineStr">
        <is>
          <t>Verbrauchsmaterial Service</t>
        </is>
      </c>
      <c r="D24" s="17" t="inlineStr">
        <is>
          <t>Rolle 200 m</t>
        </is>
      </c>
      <c r="E24" s="15" t="inlineStr">
        <is>
          <t>Rolle</t>
        </is>
      </c>
      <c r="F24" s="17" t="inlineStr">
        <is>
          <t>200 m/Rolle</t>
        </is>
      </c>
      <c r="G24" s="17" t="inlineStr">
        <is>
          <t>Lebensmittelgroßhandel</t>
        </is>
      </c>
      <c r="H24" s="17" t="inlineStr">
        <is>
          <t>Keller</t>
        </is>
      </c>
      <c r="I24" s="17" t="inlineStr"/>
      <c r="K24">
        <f>IF($B24="",0,IF(Suche!$B$4="",1,IF(ISNUMBER(SEARCH(Suche!$B$4,$B24&amp;" "&amp;$C24&amp;" "&amp;$G24)),1,0)))</f>
        <v/>
      </c>
      <c r="L24">
        <f>IF($K24=0,"",SUM($K$5:$K24))</f>
        <v/>
      </c>
    </row>
    <row r="25">
      <c r="A25" s="12" t="inlineStr">
        <is>
          <t>70-008</t>
        </is>
      </c>
      <c r="B25" s="13" t="inlineStr">
        <is>
          <t>Backpulver</t>
        </is>
      </c>
      <c r="C25" s="14" t="inlineStr">
        <is>
          <t>Küche – Trockenlager</t>
        </is>
      </c>
      <c r="D25" s="14" t="inlineStr">
        <is>
          <t>Packung 1 kg</t>
        </is>
      </c>
      <c r="E25" s="12" t="inlineStr">
        <is>
          <t>Packung</t>
        </is>
      </c>
      <c r="F25" s="14" t="inlineStr">
        <is>
          <t>1 kg/Packung</t>
        </is>
      </c>
      <c r="G25" s="14" t="inlineStr">
        <is>
          <t>Lebensmittelgroßhandel</t>
        </is>
      </c>
      <c r="H25" s="14" t="inlineStr">
        <is>
          <t>Trockenlager</t>
        </is>
      </c>
      <c r="I25" s="14" t="inlineStr"/>
      <c r="K25">
        <f>IF($B25="",0,IF(Suche!$B$4="",1,IF(ISNUMBER(SEARCH(Suche!$B$4,$B25&amp;" "&amp;$C25&amp;" "&amp;$G25)),1,0)))</f>
        <v/>
      </c>
      <c r="L25">
        <f>IF($K25=0,"",SUM($K$5:$K25))</f>
        <v/>
      </c>
    </row>
    <row r="26">
      <c r="A26" s="15" t="inlineStr">
        <is>
          <t>10-013</t>
        </is>
      </c>
      <c r="B26" s="16" t="inlineStr">
        <is>
          <t>Bad Dürrheimer Classic 0,25 l Glas</t>
        </is>
      </c>
      <c r="C26" s="17" t="inlineStr">
        <is>
          <t>AFG – Mineralwasser</t>
        </is>
      </c>
      <c r="D26" s="17" t="inlineStr">
        <is>
          <t>Kasten 24 × 0,25 l</t>
        </is>
      </c>
      <c r="E26" s="15" t="inlineStr">
        <is>
          <t>Flasche</t>
        </is>
      </c>
      <c r="F26" s="17" t="inlineStr">
        <is>
          <t>24 Flaschen/Kasten</t>
        </is>
      </c>
      <c r="G26" s="17" t="inlineStr">
        <is>
          <t>Getränkefachgroßhandel</t>
        </is>
      </c>
      <c r="H26" s="17" t="inlineStr">
        <is>
          <t>Getränkelager</t>
        </is>
      </c>
      <c r="I26" s="17" t="inlineStr"/>
      <c r="K26">
        <f>IF($B26="",0,IF(Suche!$B$4="",1,IF(ISNUMBER(SEARCH(Suche!$B$4,$B26&amp;" "&amp;$C26&amp;" "&amp;$G26)),1,0)))</f>
        <v/>
      </c>
      <c r="L26">
        <f>IF($K26=0,"",SUM($K$5:$K26))</f>
        <v/>
      </c>
    </row>
    <row r="27">
      <c r="A27" s="12" t="inlineStr">
        <is>
          <t>31-003</t>
        </is>
      </c>
      <c r="B27" s="13" t="inlineStr">
        <is>
          <t>Badisch Rotgold QbA halbtrocken 0,75 l</t>
        </is>
      </c>
      <c r="C27" s="14" t="inlineStr">
        <is>
          <t>Wein – Rosé &amp; Weißherbst</t>
        </is>
      </c>
      <c r="D27" s="14" t="inlineStr">
        <is>
          <t>Karton 6 × 0,75 l</t>
        </is>
      </c>
      <c r="E27" s="12" t="inlineStr">
        <is>
          <t>Flasche</t>
        </is>
      </c>
      <c r="F27" s="14" t="inlineStr">
        <is>
          <t>6 Flaschen/Karton</t>
        </is>
      </c>
      <c r="G27" s="14" t="inlineStr">
        <is>
          <t>Weinhandel</t>
        </is>
      </c>
      <c r="H27" s="14" t="inlineStr">
        <is>
          <t>Weinkeller</t>
        </is>
      </c>
      <c r="I27" s="14" t="inlineStr"/>
      <c r="K27">
        <f>IF($B27="",0,IF(Suche!$B$4="",1,IF(ISNUMBER(SEARCH(Suche!$B$4,$B27&amp;" "&amp;$C27&amp;" "&amp;$G27)),1,0)))</f>
        <v/>
      </c>
      <c r="L27">
        <f>IF($K27=0,"",SUM($K$5:$K27))</f>
        <v/>
      </c>
    </row>
    <row r="28">
      <c r="A28" s="15" t="inlineStr">
        <is>
          <t>45-001</t>
        </is>
      </c>
      <c r="B28" s="16" t="inlineStr">
        <is>
          <t>Baileys Original Irish Cream 0,7 l</t>
        </is>
      </c>
      <c r="C28" s="17" t="inlineStr">
        <is>
          <t>Spirituosen – Liköre</t>
        </is>
      </c>
      <c r="D28" s="17" t="inlineStr">
        <is>
          <t>Flasche 0,7 l</t>
        </is>
      </c>
      <c r="E28" s="15" t="inlineStr">
        <is>
          <t>Flasche</t>
        </is>
      </c>
      <c r="F28" s="17" t="inlineStr">
        <is>
          <t>1 Flasche</t>
        </is>
      </c>
      <c r="G28" s="17" t="inlineStr">
        <is>
          <t>Spirituosenhandel</t>
        </is>
      </c>
      <c r="H28" s="17" t="inlineStr">
        <is>
          <t>Keller</t>
        </is>
      </c>
      <c r="I28" s="17" t="inlineStr"/>
      <c r="K28">
        <f>IF($B28="",0,IF(Suche!$B$4="",1,IF(ISNUMBER(SEARCH(Suche!$B$4,$B28&amp;" "&amp;$C28&amp;" "&amp;$G28)),1,0)))</f>
        <v/>
      </c>
      <c r="L28">
        <f>IF($K28=0,"",SUM($K$5:$K28))</f>
        <v/>
      </c>
    </row>
    <row r="29">
      <c r="A29" s="12" t="inlineStr">
        <is>
          <t>44-005</t>
        </is>
      </c>
      <c r="B29" s="13" t="inlineStr">
        <is>
          <t>Ballantine's Finest 0,7 l</t>
        </is>
      </c>
      <c r="C29" s="14" t="inlineStr">
        <is>
          <t>Spirituosen – Whisky &amp; Cognac</t>
        </is>
      </c>
      <c r="D29" s="14" t="inlineStr">
        <is>
          <t>Flasche 0,7 l</t>
        </is>
      </c>
      <c r="E29" s="12" t="inlineStr">
        <is>
          <t>Flasche</t>
        </is>
      </c>
      <c r="F29" s="14" t="inlineStr">
        <is>
          <t>1 Flasche</t>
        </is>
      </c>
      <c r="G29" s="14" t="inlineStr">
        <is>
          <t>Spirituosenhandel</t>
        </is>
      </c>
      <c r="H29" s="14" t="inlineStr">
        <is>
          <t>Keller</t>
        </is>
      </c>
      <c r="I29" s="14" t="inlineStr"/>
      <c r="K29">
        <f>IF($B29="",0,IF(Suche!$B$4="",1,IF(ISNUMBER(SEARCH(Suche!$B$4,$B29&amp;" "&amp;$C29&amp;" "&amp;$G29)),1,0)))</f>
        <v/>
      </c>
      <c r="L29">
        <f>IF($K29=0,"",SUM($K$5:$K29))</f>
        <v/>
      </c>
    </row>
    <row r="30">
      <c r="A30" s="15" t="inlineStr">
        <is>
          <t>70-020</t>
        </is>
      </c>
      <c r="B30" s="16" t="inlineStr">
        <is>
          <t>Balsamico di Modena 5 l</t>
        </is>
      </c>
      <c r="C30" s="17" t="inlineStr">
        <is>
          <t>Küche – Trockenlager</t>
        </is>
      </c>
      <c r="D30" s="17" t="inlineStr">
        <is>
          <t>Kanister 5 l</t>
        </is>
      </c>
      <c r="E30" s="15" t="inlineStr">
        <is>
          <t>Kanister</t>
        </is>
      </c>
      <c r="F30" s="17" t="inlineStr">
        <is>
          <t>5 l/Kanister</t>
        </is>
      </c>
      <c r="G30" s="17" t="inlineStr">
        <is>
          <t>Lebensmittelgroßhandel</t>
        </is>
      </c>
      <c r="H30" s="17" t="inlineStr">
        <is>
          <t>Trockenlager</t>
        </is>
      </c>
      <c r="I30" s="17" t="inlineStr"/>
      <c r="K30">
        <f>IF($B30="",0,IF(Suche!$B$4="",1,IF(ISNUMBER(SEARCH(Suche!$B$4,$B30&amp;" "&amp;$C30&amp;" "&amp;$G30)),1,0)))</f>
        <v/>
      </c>
      <c r="L30">
        <f>IF($K30=0,"",SUM($K$5:$K30))</f>
        <v/>
      </c>
    </row>
    <row r="31">
      <c r="A31" s="12" t="inlineStr">
        <is>
          <t>12-007</t>
        </is>
      </c>
      <c r="B31" s="13" t="inlineStr">
        <is>
          <t>Bananennektar 1,0 l Glas</t>
        </is>
      </c>
      <c r="C31" s="14" t="inlineStr">
        <is>
          <t>AFG – Säfte &amp; Nektare</t>
        </is>
      </c>
      <c r="D31" s="14" t="inlineStr">
        <is>
          <t>Kasten 6 × 1,0 l</t>
        </is>
      </c>
      <c r="E31" s="12" t="inlineStr">
        <is>
          <t>Flasche</t>
        </is>
      </c>
      <c r="F31" s="14" t="inlineStr">
        <is>
          <t>6 Flaschen/Kasten</t>
        </is>
      </c>
      <c r="G31" s="14" t="inlineStr">
        <is>
          <t>Getränkefachgroßhandel</t>
        </is>
      </c>
      <c r="H31" s="14" t="inlineStr">
        <is>
          <t>Getränkelager</t>
        </is>
      </c>
      <c r="I31" s="14" t="inlineStr"/>
      <c r="K31">
        <f>IF($B31="",0,IF(Suche!$B$4="",1,IF(ISNUMBER(SEARCH(Suche!$B$4,$B31&amp;" "&amp;$C31&amp;" "&amp;$G31)),1,0)))</f>
        <v/>
      </c>
      <c r="L31">
        <f>IF($K31=0,"",SUM($K$5:$K31))</f>
        <v/>
      </c>
    </row>
    <row r="32">
      <c r="A32" s="15" t="inlineStr">
        <is>
          <t>70-022</t>
        </is>
      </c>
      <c r="B32" s="16" t="inlineStr">
        <is>
          <t>Basmatireis 5 kg</t>
        </is>
      </c>
      <c r="C32" s="17" t="inlineStr">
        <is>
          <t>Küche – Trockenlager</t>
        </is>
      </c>
      <c r="D32" s="17" t="inlineStr">
        <is>
          <t>Sack 5 kg</t>
        </is>
      </c>
      <c r="E32" s="15" t="inlineStr">
        <is>
          <t>kg</t>
        </is>
      </c>
      <c r="F32" s="17" t="inlineStr">
        <is>
          <t>5 kg/Sack</t>
        </is>
      </c>
      <c r="G32" s="17" t="inlineStr">
        <is>
          <t>Lebensmittelgroßhandel</t>
        </is>
      </c>
      <c r="H32" s="17" t="inlineStr">
        <is>
          <t>Trockenlager</t>
        </is>
      </c>
      <c r="I32" s="17" t="inlineStr"/>
      <c r="K32">
        <f>IF($B32="",0,IF(Suche!$B$4="",1,IF(ISNUMBER(SEARCH(Suche!$B$4,$B32&amp;" "&amp;$C32&amp;" "&amp;$G32)),1,0)))</f>
        <v/>
      </c>
      <c r="L32">
        <f>IF($K32=0,"",SUM($K$5:$K32))</f>
        <v/>
      </c>
    </row>
    <row r="33">
      <c r="A33" s="12" t="inlineStr">
        <is>
          <t>45-012</t>
        </is>
      </c>
      <c r="B33" s="13" t="inlineStr">
        <is>
          <t>Batida de Côco 0,7 l</t>
        </is>
      </c>
      <c r="C33" s="14" t="inlineStr">
        <is>
          <t>Spirituosen – Liköre</t>
        </is>
      </c>
      <c r="D33" s="14" t="inlineStr">
        <is>
          <t>Flasche 0,7 l</t>
        </is>
      </c>
      <c r="E33" s="12" t="inlineStr">
        <is>
          <t>Flasche</t>
        </is>
      </c>
      <c r="F33" s="14" t="inlineStr">
        <is>
          <t>1 Flasche</t>
        </is>
      </c>
      <c r="G33" s="14" t="inlineStr">
        <is>
          <t>Spirituosenhandel</t>
        </is>
      </c>
      <c r="H33" s="14" t="inlineStr">
        <is>
          <t>Keller</t>
        </is>
      </c>
      <c r="I33" s="14" t="inlineStr"/>
      <c r="K33">
        <f>IF($B33="",0,IF(Suche!$B$4="",1,IF(ISNUMBER(SEARCH(Suche!$B$4,$B33&amp;" "&amp;$C33&amp;" "&amp;$G33)),1,0)))</f>
        <v/>
      </c>
      <c r="L33">
        <f>IF($K33=0,"",SUM($K$5:$K33))</f>
        <v/>
      </c>
    </row>
    <row r="34">
      <c r="A34" s="15" t="inlineStr">
        <is>
          <t>73-006</t>
        </is>
      </c>
      <c r="B34" s="16" t="inlineStr">
        <is>
          <t>Beerenmischung TK 1 kg</t>
        </is>
      </c>
      <c r="C34" s="17" t="inlineStr">
        <is>
          <t>Küche – Tiefkühl</t>
        </is>
      </c>
      <c r="D34" s="17" t="inlineStr">
        <is>
          <t>Karton 10 kg</t>
        </is>
      </c>
      <c r="E34" s="15" t="inlineStr">
        <is>
          <t>kg</t>
        </is>
      </c>
      <c r="F34" s="17" t="inlineStr">
        <is>
          <t>10 kg/Karton</t>
        </is>
      </c>
      <c r="G34" s="17" t="inlineStr">
        <is>
          <t>Lebensmittelgroßhandel</t>
        </is>
      </c>
      <c r="H34" s="17" t="inlineStr">
        <is>
          <t>Tiefkühllager</t>
        </is>
      </c>
      <c r="I34" s="17" t="inlineStr"/>
      <c r="K34">
        <f>IF($B34="",0,IF(Suche!$B$4="",1,IF(ISNUMBER(SEARCH(Suche!$B$4,$B34&amp;" "&amp;$C34&amp;" "&amp;$G34)),1,0)))</f>
        <v/>
      </c>
      <c r="L34">
        <f>IF($K34=0,"",SUM($K$5:$K34))</f>
        <v/>
      </c>
    </row>
    <row r="35">
      <c r="A35" s="12" t="inlineStr">
        <is>
          <t>60-010</t>
        </is>
      </c>
      <c r="B35" s="13" t="inlineStr">
        <is>
          <t>Bierdeckel</t>
        </is>
      </c>
      <c r="C35" s="14" t="inlineStr">
        <is>
          <t>Bar – Zubehör &amp; Frischware</t>
        </is>
      </c>
      <c r="D35" s="14" t="inlineStr">
        <is>
          <t>Packung 100 Stück</t>
        </is>
      </c>
      <c r="E35" s="12" t="inlineStr">
        <is>
          <t>Packung</t>
        </is>
      </c>
      <c r="F35" s="14" t="inlineStr">
        <is>
          <t>100 Stück/Packung</t>
        </is>
      </c>
      <c r="G35" s="14" t="inlineStr">
        <is>
          <t>Lebensmittelgroßhandel</t>
        </is>
      </c>
      <c r="H35" s="14" t="inlineStr">
        <is>
          <t>Bar</t>
        </is>
      </c>
      <c r="I35" s="14" t="inlineStr"/>
      <c r="K35">
        <f>IF($B35="",0,IF(Suche!$B$4="",1,IF(ISNUMBER(SEARCH(Suche!$B$4,$B35&amp;" "&amp;$C35&amp;" "&amp;$G35)),1,0)))</f>
        <v/>
      </c>
      <c r="L35">
        <f>IF($K35=0,"",SUM($K$5:$K35))</f>
        <v/>
      </c>
    </row>
    <row r="36">
      <c r="A36" s="15" t="inlineStr">
        <is>
          <t>20-016</t>
        </is>
      </c>
      <c r="B36" s="16" t="inlineStr">
        <is>
          <t>Bitburger 0,0 % 0,33 l Glas</t>
        </is>
      </c>
      <c r="C36" s="17" t="inlineStr">
        <is>
          <t>Bier</t>
        </is>
      </c>
      <c r="D36" s="17" t="inlineStr">
        <is>
          <t>Kasten 24 × 0,33 l</t>
        </is>
      </c>
      <c r="E36" s="15" t="inlineStr">
        <is>
          <t>Flasche</t>
        </is>
      </c>
      <c r="F36" s="17" t="inlineStr">
        <is>
          <t>24 Flaschen/Kasten</t>
        </is>
      </c>
      <c r="G36" s="17" t="inlineStr">
        <is>
          <t>Getränkefachgroßhandel</t>
        </is>
      </c>
      <c r="H36" s="17" t="inlineStr">
        <is>
          <t>Getränkelager</t>
        </is>
      </c>
      <c r="I36" s="17" t="inlineStr"/>
      <c r="K36">
        <f>IF($B36="",0,IF(Suche!$B$4="",1,IF(ISNUMBER(SEARCH(Suche!$B$4,$B36&amp;" "&amp;$C36&amp;" "&amp;$G36)),1,0)))</f>
        <v/>
      </c>
      <c r="L36">
        <f>IF($K36=0,"",SUM($K$5:$K36))</f>
        <v/>
      </c>
    </row>
    <row r="37">
      <c r="A37" s="12" t="inlineStr">
        <is>
          <t>20-015</t>
        </is>
      </c>
      <c r="B37" s="13" t="inlineStr">
        <is>
          <t>Bitburger Premium Pils 0,33 l Glas</t>
        </is>
      </c>
      <c r="C37" s="14" t="inlineStr">
        <is>
          <t>Bier</t>
        </is>
      </c>
      <c r="D37" s="14" t="inlineStr">
        <is>
          <t>Kasten 24 × 0,33 l</t>
        </is>
      </c>
      <c r="E37" s="12" t="inlineStr">
        <is>
          <t>Flasche</t>
        </is>
      </c>
      <c r="F37" s="14" t="inlineStr">
        <is>
          <t>24 Flaschen/Kasten</t>
        </is>
      </c>
      <c r="G37" s="14" t="inlineStr">
        <is>
          <t>Getränkefachgroßhandel</t>
        </is>
      </c>
      <c r="H37" s="14" t="inlineStr">
        <is>
          <t>Getränkelager</t>
        </is>
      </c>
      <c r="I37" s="14" t="inlineStr"/>
      <c r="K37">
        <f>IF($B37="",0,IF(Suche!$B$4="",1,IF(ISNUMBER(SEARCH(Suche!$B$4,$B37&amp;" "&amp;$C37&amp;" "&amp;$G37)),1,0)))</f>
        <v/>
      </c>
      <c r="L37">
        <f>IF($K37=0,"",SUM($K$5:$K37))</f>
        <v/>
      </c>
    </row>
    <row r="38">
      <c r="A38" s="15" t="inlineStr">
        <is>
          <t>73-010</t>
        </is>
      </c>
      <c r="B38" s="16" t="inlineStr">
        <is>
          <t>Blätterteig TK</t>
        </is>
      </c>
      <c r="C38" s="17" t="inlineStr">
        <is>
          <t>Küche – Tiefkühl</t>
        </is>
      </c>
      <c r="D38" s="17" t="inlineStr">
        <is>
          <t>Karton 5 kg</t>
        </is>
      </c>
      <c r="E38" s="15" t="inlineStr">
        <is>
          <t>kg</t>
        </is>
      </c>
      <c r="F38" s="17" t="inlineStr">
        <is>
          <t>5 kg/Karton</t>
        </is>
      </c>
      <c r="G38" s="17" t="inlineStr">
        <is>
          <t>Lebensmittelgroßhandel</t>
        </is>
      </c>
      <c r="H38" s="17" t="inlineStr">
        <is>
          <t>Tiefkühllager</t>
        </is>
      </c>
      <c r="I38" s="17" t="inlineStr"/>
      <c r="K38">
        <f>IF($B38="",0,IF(Suche!$B$4="",1,IF(ISNUMBER(SEARCH(Suche!$B$4,$B38&amp;" "&amp;$C38&amp;" "&amp;$G38)),1,0)))</f>
        <v/>
      </c>
      <c r="L38">
        <f>IF($K38=0,"",SUM($K$5:$K38))</f>
        <v/>
      </c>
    </row>
    <row r="39">
      <c r="A39" s="12" t="inlineStr">
        <is>
          <t>73-005</t>
        </is>
      </c>
      <c r="B39" s="13" t="inlineStr">
        <is>
          <t>Blattspinat TK 2,5 kg</t>
        </is>
      </c>
      <c r="C39" s="14" t="inlineStr">
        <is>
          <t>Küche – Tiefkühl</t>
        </is>
      </c>
      <c r="D39" s="14" t="inlineStr">
        <is>
          <t>Karton 10 kg</t>
        </is>
      </c>
      <c r="E39" s="12" t="inlineStr">
        <is>
          <t>kg</t>
        </is>
      </c>
      <c r="F39" s="14" t="inlineStr">
        <is>
          <t>10 kg/Karton</t>
        </is>
      </c>
      <c r="G39" s="14" t="inlineStr">
        <is>
          <t>Lebensmittelgroßhandel</t>
        </is>
      </c>
      <c r="H39" s="14" t="inlineStr">
        <is>
          <t>Tiefkühllager</t>
        </is>
      </c>
      <c r="I39" s="14" t="inlineStr"/>
      <c r="K39">
        <f>IF($B39="",0,IF(Suche!$B$4="",1,IF(ISNUMBER(SEARCH(Suche!$B$4,$B39&amp;" "&amp;$C39&amp;" "&amp;$G39)),1,0)))</f>
        <v/>
      </c>
      <c r="L39">
        <f>IF($K39=0,"",SUM($K$5:$K39))</f>
        <v/>
      </c>
    </row>
    <row r="40">
      <c r="A40" s="15" t="inlineStr">
        <is>
          <t>45-011</t>
        </is>
      </c>
      <c r="B40" s="16" t="inlineStr">
        <is>
          <t>Blue Curaçao 0,7 l</t>
        </is>
      </c>
      <c r="C40" s="17" t="inlineStr">
        <is>
          <t>Spirituosen – Liköre</t>
        </is>
      </c>
      <c r="D40" s="17" t="inlineStr">
        <is>
          <t>Flasche 0,7 l</t>
        </is>
      </c>
      <c r="E40" s="15" t="inlineStr">
        <is>
          <t>Flasche</t>
        </is>
      </c>
      <c r="F40" s="17" t="inlineStr">
        <is>
          <t>1 Flasche</t>
        </is>
      </c>
      <c r="G40" s="17" t="inlineStr">
        <is>
          <t>Spirituosenhandel</t>
        </is>
      </c>
      <c r="H40" s="17" t="inlineStr">
        <is>
          <t>Keller</t>
        </is>
      </c>
      <c r="I40" s="17" t="inlineStr"/>
      <c r="K40">
        <f>IF($B40="",0,IF(Suche!$B$4="",1,IF(ISNUMBER(SEARCH(Suche!$B$4,$B40&amp;" "&amp;$C40&amp;" "&amp;$G40)),1,0)))</f>
        <v/>
      </c>
      <c r="L40">
        <f>IF($K40=0,"",SUM($K$5:$K40))</f>
        <v/>
      </c>
    </row>
    <row r="41">
      <c r="A41" s="12" t="inlineStr">
        <is>
          <t>81-006</t>
        </is>
      </c>
      <c r="B41" s="13" t="inlineStr">
        <is>
          <t>Bodenreiniger 10 l</t>
        </is>
      </c>
      <c r="C41" s="14" t="inlineStr">
        <is>
          <t>Housekeeping – Reinigung</t>
        </is>
      </c>
      <c r="D41" s="14" t="inlineStr">
        <is>
          <t>Kanister 10 l</t>
        </is>
      </c>
      <c r="E41" s="12" t="inlineStr">
        <is>
          <t>Kanister</t>
        </is>
      </c>
      <c r="F41" s="14" t="inlineStr">
        <is>
          <t>10 l/Kanister</t>
        </is>
      </c>
      <c r="G41" s="14" t="inlineStr">
        <is>
          <t>Hygiene- &amp; Reinigungsbedarf</t>
        </is>
      </c>
      <c r="H41" s="14" t="inlineStr">
        <is>
          <t>Housekeeping</t>
        </is>
      </c>
      <c r="I41" s="14" t="inlineStr"/>
      <c r="K41">
        <f>IF($B41="",0,IF(Suche!$B$4="",1,IF(ISNUMBER(SEARCH(Suche!$B$4,$B41&amp;" "&amp;$C41&amp;" "&amp;$G41)),1,0)))</f>
        <v/>
      </c>
      <c r="L41">
        <f>IF($K41=0,"",SUM($K$5:$K41))</f>
        <v/>
      </c>
    </row>
    <row r="42">
      <c r="A42" s="15" t="inlineStr">
        <is>
          <t>80-004</t>
        </is>
      </c>
      <c r="B42" s="16" t="inlineStr">
        <is>
          <t>Bodylotion 30 ml</t>
        </is>
      </c>
      <c r="C42" s="17" t="inlineStr">
        <is>
          <t>Housekeeping – Gästeartikel</t>
        </is>
      </c>
      <c r="D42" s="17" t="inlineStr">
        <is>
          <t>Karton 200 Stück</t>
        </is>
      </c>
      <c r="E42" s="15" t="inlineStr">
        <is>
          <t>Stück</t>
        </is>
      </c>
      <c r="F42" s="17" t="inlineStr">
        <is>
          <t>200 Stück/Karton</t>
        </is>
      </c>
      <c r="G42" s="17" t="inlineStr">
        <is>
          <t>Hygiene- &amp; Reinigungsbedarf</t>
        </is>
      </c>
      <c r="H42" s="17" t="inlineStr">
        <is>
          <t>Housekeeping</t>
        </is>
      </c>
      <c r="I42" s="17" t="inlineStr"/>
      <c r="K42">
        <f>IF($B42="",0,IF(Suche!$B$4="",1,IF(ISNUMBER(SEARCH(Suche!$B$4,$B42&amp;" "&amp;$C42&amp;" "&amp;$G42)),1,0)))</f>
        <v/>
      </c>
      <c r="L42">
        <f>IF($K42=0,"",SUM($K$5:$K42))</f>
        <v/>
      </c>
    </row>
    <row r="43">
      <c r="A43" s="12" t="inlineStr">
        <is>
          <t>42-002</t>
        </is>
      </c>
      <c r="B43" s="13" t="inlineStr">
        <is>
          <t>Bombay Sapphire Gin 0,7 l</t>
        </is>
      </c>
      <c r="C43" s="14" t="inlineStr">
        <is>
          <t>Spirituosen – Gin &amp; Wodka</t>
        </is>
      </c>
      <c r="D43" s="14" t="inlineStr">
        <is>
          <t>Flasche 0,7 l</t>
        </is>
      </c>
      <c r="E43" s="12" t="inlineStr">
        <is>
          <t>Flasche</t>
        </is>
      </c>
      <c r="F43" s="14" t="inlineStr">
        <is>
          <t>1 Flasche</t>
        </is>
      </c>
      <c r="G43" s="14" t="inlineStr">
        <is>
          <t>Spirituosenhandel</t>
        </is>
      </c>
      <c r="H43" s="14" t="inlineStr">
        <is>
          <t>Keller</t>
        </is>
      </c>
      <c r="I43" s="14" t="inlineStr"/>
      <c r="K43">
        <f>IF($B43="",0,IF(Suche!$B$4="",1,IF(ISNUMBER(SEARCH(Suche!$B$4,$B43&amp;" "&amp;$C43&amp;" "&amp;$G43)),1,0)))</f>
        <v/>
      </c>
      <c r="L43">
        <f>IF($K43=0,"",SUM($K$5:$K43))</f>
        <v/>
      </c>
    </row>
    <row r="44">
      <c r="A44" s="15" t="inlineStr">
        <is>
          <t>90-008</t>
        </is>
      </c>
      <c r="B44" s="16" t="inlineStr">
        <is>
          <t>Bonrollen 80 mm</t>
        </is>
      </c>
      <c r="C44" s="17" t="inlineStr">
        <is>
          <t>Verbrauchsmaterial Service</t>
        </is>
      </c>
      <c r="D44" s="17" t="inlineStr">
        <is>
          <t>Packung 50 Rollen</t>
        </is>
      </c>
      <c r="E44" s="15" t="inlineStr">
        <is>
          <t>Packung</t>
        </is>
      </c>
      <c r="F44" s="17" t="inlineStr">
        <is>
          <t>50 Rollen/Packung</t>
        </is>
      </c>
      <c r="G44" s="17" t="inlineStr">
        <is>
          <t>Lebensmittelgroßhandel</t>
        </is>
      </c>
      <c r="H44" s="17" t="inlineStr">
        <is>
          <t>Keller</t>
        </is>
      </c>
      <c r="I44" s="17" t="inlineStr"/>
      <c r="K44">
        <f>IF($B44="",0,IF(Suche!$B$4="",1,IF(ISNUMBER(SEARCH(Suche!$B$4,$B44&amp;" "&amp;$C44&amp;" "&amp;$G44)),1,0)))</f>
        <v/>
      </c>
      <c r="L44">
        <f>IF($K44=0,"",SUM($K$5:$K44))</f>
        <v/>
      </c>
    </row>
    <row r="45">
      <c r="A45" s="12" t="inlineStr">
        <is>
          <t>73-011</t>
        </is>
      </c>
      <c r="B45" s="13" t="inlineStr">
        <is>
          <t>Brötchen zum Aufbacken TK</t>
        </is>
      </c>
      <c r="C45" s="14" t="inlineStr">
        <is>
          <t>Küche – Tiefkühl</t>
        </is>
      </c>
      <c r="D45" s="14" t="inlineStr">
        <is>
          <t>Karton 100 Stück</t>
        </is>
      </c>
      <c r="E45" s="12" t="inlineStr">
        <is>
          <t>Stück</t>
        </is>
      </c>
      <c r="F45" s="14" t="inlineStr">
        <is>
          <t>100 Stück/Karton</t>
        </is>
      </c>
      <c r="G45" s="14" t="inlineStr">
        <is>
          <t>Lebensmittelgroßhandel</t>
        </is>
      </c>
      <c r="H45" s="14" t="inlineStr">
        <is>
          <t>Tiefkühllager</t>
        </is>
      </c>
      <c r="I45" s="14" t="inlineStr"/>
      <c r="K45">
        <f>IF($B45="",0,IF(Suche!$B$4="",1,IF(ISNUMBER(SEARCH(Suche!$B$4,$B45&amp;" "&amp;$C45&amp;" "&amp;$G45)),1,0)))</f>
        <v/>
      </c>
      <c r="L45">
        <f>IF($K45=0,"",SUM($K$5:$K45))</f>
        <v/>
      </c>
    </row>
    <row r="46">
      <c r="A46" s="15" t="inlineStr">
        <is>
          <t>72-001</t>
        </is>
      </c>
      <c r="B46" s="16" t="inlineStr">
        <is>
          <t>Butter 250 g</t>
        </is>
      </c>
      <c r="C46" s="17" t="inlineStr">
        <is>
          <t>Küche – Kühlhaus</t>
        </is>
      </c>
      <c r="D46" s="17" t="inlineStr">
        <is>
          <t>Karton 40 × 250 g</t>
        </is>
      </c>
      <c r="E46" s="15" t="inlineStr">
        <is>
          <t>Stück</t>
        </is>
      </c>
      <c r="F46" s="17" t="inlineStr">
        <is>
          <t>40 Stück/Karton</t>
        </is>
      </c>
      <c r="G46" s="17" t="inlineStr">
        <is>
          <t>Lebensmittelgroßhandel</t>
        </is>
      </c>
      <c r="H46" s="17" t="inlineStr">
        <is>
          <t>Kühlhaus</t>
        </is>
      </c>
      <c r="I46" s="17" t="inlineStr"/>
      <c r="K46">
        <f>IF($B46="",0,IF(Suche!$B$4="",1,IF(ISNUMBER(SEARCH(Suche!$B$4,$B46&amp;" "&amp;$C46&amp;" "&amp;$G46)),1,0)))</f>
        <v/>
      </c>
      <c r="L46">
        <f>IF($K46=0,"",SUM($K$5:$K46))</f>
        <v/>
      </c>
    </row>
    <row r="47">
      <c r="A47" s="12" t="inlineStr">
        <is>
          <t>72-002</t>
        </is>
      </c>
      <c r="B47" s="13" t="inlineStr">
        <is>
          <t>Butter Portionen 10 g</t>
        </is>
      </c>
      <c r="C47" s="14" t="inlineStr">
        <is>
          <t>Küche – Kühlhaus</t>
        </is>
      </c>
      <c r="D47" s="14" t="inlineStr">
        <is>
          <t>Karton 100 Stück</t>
        </is>
      </c>
      <c r="E47" s="12" t="inlineStr">
        <is>
          <t>Stück</t>
        </is>
      </c>
      <c r="F47" s="14" t="inlineStr">
        <is>
          <t>100 Portionen/Karton</t>
        </is>
      </c>
      <c r="G47" s="14" t="inlineStr">
        <is>
          <t>Lebensmittelgroßhandel</t>
        </is>
      </c>
      <c r="H47" s="14" t="inlineStr">
        <is>
          <t>Kühlhaus</t>
        </is>
      </c>
      <c r="I47" s="14" t="inlineStr"/>
      <c r="K47">
        <f>IF($B47="",0,IF(Suche!$B$4="",1,IF(ISNUMBER(SEARCH(Suche!$B$4,$B47&amp;" "&amp;$C47&amp;" "&amp;$G47)),1,0)))</f>
        <v/>
      </c>
      <c r="L47">
        <f>IF($K47=0,"",SUM($K$5:$K47))</f>
        <v/>
      </c>
    </row>
    <row r="48">
      <c r="A48" s="15" t="inlineStr">
        <is>
          <t>32-008</t>
        </is>
      </c>
      <c r="B48" s="16" t="inlineStr">
        <is>
          <t>Cabernet Sauvignon 0,75 l</t>
        </is>
      </c>
      <c r="C48" s="17" t="inlineStr">
        <is>
          <t>Wein – Rot</t>
        </is>
      </c>
      <c r="D48" s="17" t="inlineStr">
        <is>
          <t>Karton 6 × 0,75 l</t>
        </is>
      </c>
      <c r="E48" s="15" t="inlineStr">
        <is>
          <t>Flasche</t>
        </is>
      </c>
      <c r="F48" s="17" t="inlineStr">
        <is>
          <t>6 Flaschen/Karton</t>
        </is>
      </c>
      <c r="G48" s="17" t="inlineStr">
        <is>
          <t>Weinhandel</t>
        </is>
      </c>
      <c r="H48" s="17" t="inlineStr">
        <is>
          <t>Weinkeller</t>
        </is>
      </c>
      <c r="I48" s="17" t="inlineStr"/>
      <c r="K48">
        <f>IF($B48="",0,IF(Suche!$B$4="",1,IF(ISNUMBER(SEARCH(Suche!$B$4,$B48&amp;" "&amp;$C48&amp;" "&amp;$G48)),1,0)))</f>
        <v/>
      </c>
      <c r="L48">
        <f>IF($K48=0,"",SUM($K$5:$K48))</f>
        <v/>
      </c>
    </row>
    <row r="49">
      <c r="A49" s="12" t="inlineStr">
        <is>
          <t>50-002</t>
        </is>
      </c>
      <c r="B49" s="13" t="inlineStr">
        <is>
          <t>Café-Crème-Bohnen 1 kg</t>
        </is>
      </c>
      <c r="C49" s="14" t="inlineStr">
        <is>
          <t>Heißgetränke – Kaffee</t>
        </is>
      </c>
      <c r="D49" s="14" t="inlineStr">
        <is>
          <t>Karton 6 × 1 kg</t>
        </is>
      </c>
      <c r="E49" s="12" t="inlineStr">
        <is>
          <t>kg</t>
        </is>
      </c>
      <c r="F49" s="14" t="inlineStr">
        <is>
          <t>6 kg/Karton</t>
        </is>
      </c>
      <c r="G49" s="14" t="inlineStr">
        <is>
          <t>Kaffeelieferant</t>
        </is>
      </c>
      <c r="H49" s="14" t="inlineStr">
        <is>
          <t>Trockenlager</t>
        </is>
      </c>
      <c r="I49" s="14" t="inlineStr"/>
      <c r="K49">
        <f>IF($B49="",0,IF(Suche!$B$4="",1,IF(ISNUMBER(SEARCH(Suche!$B$4,$B49&amp;" "&amp;$C49&amp;" "&amp;$G49)),1,0)))</f>
        <v/>
      </c>
      <c r="L49">
        <f>IF($K49=0,"",SUM($K$5:$K49))</f>
        <v/>
      </c>
    </row>
    <row r="50">
      <c r="A50" s="15" t="inlineStr">
        <is>
          <t>72-019</t>
        </is>
      </c>
      <c r="B50" s="16" t="inlineStr">
        <is>
          <t>Camembert 250 g</t>
        </is>
      </c>
      <c r="C50" s="17" t="inlineStr">
        <is>
          <t>Küche – Kühlhaus</t>
        </is>
      </c>
      <c r="D50" s="17" t="inlineStr">
        <is>
          <t>Karton 12 × 250 g</t>
        </is>
      </c>
      <c r="E50" s="15" t="inlineStr">
        <is>
          <t>Stück</t>
        </is>
      </c>
      <c r="F50" s="17" t="inlineStr">
        <is>
          <t>12 Stück/Karton</t>
        </is>
      </c>
      <c r="G50" s="17" t="inlineStr">
        <is>
          <t>Lebensmittelgroßhandel</t>
        </is>
      </c>
      <c r="H50" s="17" t="inlineStr">
        <is>
          <t>Kühlhaus</t>
        </is>
      </c>
      <c r="I50" s="17" t="inlineStr"/>
      <c r="K50">
        <f>IF($B50="",0,IF(Suche!$B$4="",1,IF(ISNUMBER(SEARCH(Suche!$B$4,$B50&amp;" "&amp;$C50&amp;" "&amp;$G50)),1,0)))</f>
        <v/>
      </c>
      <c r="L50">
        <f>IF($K50=0,"",SUM($K$5:$K50))</f>
        <v/>
      </c>
    </row>
    <row r="51">
      <c r="A51" s="12" t="inlineStr">
        <is>
          <t>41-008</t>
        </is>
      </c>
      <c r="B51" s="13" t="inlineStr">
        <is>
          <t>Campari Bitter 0,7 l</t>
        </is>
      </c>
      <c r="C51" s="14" t="inlineStr">
        <is>
          <t>Spirituosen – Bitter &amp; Aperitif</t>
        </is>
      </c>
      <c r="D51" s="14" t="inlineStr">
        <is>
          <t>Flasche 0,7 l</t>
        </is>
      </c>
      <c r="E51" s="12" t="inlineStr">
        <is>
          <t>Flasche</t>
        </is>
      </c>
      <c r="F51" s="14" t="inlineStr">
        <is>
          <t>1 Flasche</t>
        </is>
      </c>
      <c r="G51" s="14" t="inlineStr">
        <is>
          <t>Spirituosenhandel</t>
        </is>
      </c>
      <c r="H51" s="14" t="inlineStr">
        <is>
          <t>Keller</t>
        </is>
      </c>
      <c r="I51" s="14" t="inlineStr"/>
      <c r="K51">
        <f>IF($B51="",0,IF(Suche!$B$4="",1,IF(ISNUMBER(SEARCH(Suche!$B$4,$B51&amp;" "&amp;$C51&amp;" "&amp;$G51)),1,0)))</f>
        <v/>
      </c>
      <c r="L51">
        <f>IF($K51=0,"",SUM($K$5:$K51))</f>
        <v/>
      </c>
    </row>
    <row r="52">
      <c r="A52" s="15" t="inlineStr">
        <is>
          <t>43-003</t>
        </is>
      </c>
      <c r="B52" s="16" t="inlineStr">
        <is>
          <t>Captain Morgan Spiced Gold 0,7 l</t>
        </is>
      </c>
      <c r="C52" s="17" t="inlineStr">
        <is>
          <t>Spirituosen – Rum &amp; Tequila</t>
        </is>
      </c>
      <c r="D52" s="17" t="inlineStr">
        <is>
          <t>Flasche 0,7 l</t>
        </is>
      </c>
      <c r="E52" s="15" t="inlineStr">
        <is>
          <t>Flasche</t>
        </is>
      </c>
      <c r="F52" s="17" t="inlineStr">
        <is>
          <t>1 Flasche</t>
        </is>
      </c>
      <c r="G52" s="17" t="inlineStr">
        <is>
          <t>Spirituosenhandel</t>
        </is>
      </c>
      <c r="H52" s="17" t="inlineStr">
        <is>
          <t>Keller</t>
        </is>
      </c>
      <c r="I52" s="17" t="inlineStr"/>
      <c r="K52">
        <f>IF($B52="",0,IF(Suche!$B$4="",1,IF(ISNUMBER(SEARCH(Suche!$B$4,$B52&amp;" "&amp;$C52&amp;" "&amp;$G52)),1,0)))</f>
        <v/>
      </c>
      <c r="L52">
        <f>IF($K52=0,"",SUM($K$5:$K52))</f>
        <v/>
      </c>
    </row>
    <row r="53">
      <c r="A53" s="12" t="inlineStr">
        <is>
          <t>71-021</t>
        </is>
      </c>
      <c r="B53" s="13" t="inlineStr">
        <is>
          <t>Champignons geschnitten 2,5 kg</t>
        </is>
      </c>
      <c r="C53" s="14" t="inlineStr">
        <is>
          <t>Küche – Konserven &amp; Saucen</t>
        </is>
      </c>
      <c r="D53" s="14" t="inlineStr">
        <is>
          <t>Dose 2,5 kg</t>
        </is>
      </c>
      <c r="E53" s="12" t="inlineStr">
        <is>
          <t>Dose</t>
        </is>
      </c>
      <c r="F53" s="14" t="inlineStr">
        <is>
          <t>2,5 kg/Dose</t>
        </is>
      </c>
      <c r="G53" s="14" t="inlineStr">
        <is>
          <t>Lebensmittelgroßhandel</t>
        </is>
      </c>
      <c r="H53" s="14" t="inlineStr">
        <is>
          <t>Trockenlager</t>
        </is>
      </c>
      <c r="I53" s="14" t="inlineStr"/>
      <c r="K53">
        <f>IF($B53="",0,IF(Suche!$B$4="",1,IF(ISNUMBER(SEARCH(Suche!$B$4,$B53&amp;" "&amp;$C53&amp;" "&amp;$G53)),1,0)))</f>
        <v/>
      </c>
      <c r="L53">
        <f>IF($K53=0,"",SUM($K$5:$K53))</f>
        <v/>
      </c>
    </row>
    <row r="54">
      <c r="A54" s="15" t="inlineStr">
        <is>
          <t>30-007</t>
        </is>
      </c>
      <c r="B54" s="16" t="inlineStr">
        <is>
          <t>Chardonnay QbA trocken 0,75 l</t>
        </is>
      </c>
      <c r="C54" s="17" t="inlineStr">
        <is>
          <t>Wein – Weiß</t>
        </is>
      </c>
      <c r="D54" s="17" t="inlineStr">
        <is>
          <t>Karton 6 × 0,75 l</t>
        </is>
      </c>
      <c r="E54" s="15" t="inlineStr">
        <is>
          <t>Flasche</t>
        </is>
      </c>
      <c r="F54" s="17" t="inlineStr">
        <is>
          <t>6 Flaschen/Karton</t>
        </is>
      </c>
      <c r="G54" s="17" t="inlineStr">
        <is>
          <t>Weinhandel</t>
        </is>
      </c>
      <c r="H54" s="17" t="inlineStr">
        <is>
          <t>Weinkeller</t>
        </is>
      </c>
      <c r="I54" s="17" t="inlineStr"/>
      <c r="K54">
        <f>IF($B54="",0,IF(Suche!$B$4="",1,IF(ISNUMBER(SEARCH(Suche!$B$4,$B54&amp;" "&amp;$C54&amp;" "&amp;$G54)),1,0)))</f>
        <v/>
      </c>
      <c r="L54">
        <f>IF($K54=0,"",SUM($K$5:$K54))</f>
        <v/>
      </c>
    </row>
    <row r="55">
      <c r="A55" s="12" t="inlineStr">
        <is>
          <t>32-009</t>
        </is>
      </c>
      <c r="B55" s="13" t="inlineStr">
        <is>
          <t>Chianti Classico DOCG 0,75 l</t>
        </is>
      </c>
      <c r="C55" s="14" t="inlineStr">
        <is>
          <t>Wein – Rot</t>
        </is>
      </c>
      <c r="D55" s="14" t="inlineStr">
        <is>
          <t>Karton 6 × 0,75 l</t>
        </is>
      </c>
      <c r="E55" s="12" t="inlineStr">
        <is>
          <t>Flasche</t>
        </is>
      </c>
      <c r="F55" s="14" t="inlineStr">
        <is>
          <t>6 Flaschen/Karton</t>
        </is>
      </c>
      <c r="G55" s="14" t="inlineStr">
        <is>
          <t>Weinhandel</t>
        </is>
      </c>
      <c r="H55" s="14" t="inlineStr">
        <is>
          <t>Weinkeller</t>
        </is>
      </c>
      <c r="I55" s="14" t="inlineStr"/>
      <c r="K55">
        <f>IF($B55="",0,IF(Suche!$B$4="",1,IF(ISNUMBER(SEARCH(Suche!$B$4,$B55&amp;" "&amp;$C55&amp;" "&amp;$G55)),1,0)))</f>
        <v/>
      </c>
      <c r="L55">
        <f>IF($K55=0,"",SUM($K$5:$K55))</f>
        <v/>
      </c>
    </row>
    <row r="56">
      <c r="A56" s="15" t="inlineStr">
        <is>
          <t>44-004</t>
        </is>
      </c>
      <c r="B56" s="16" t="inlineStr">
        <is>
          <t>Chivas Regal 12 Jahre 0,7 l</t>
        </is>
      </c>
      <c r="C56" s="17" t="inlineStr">
        <is>
          <t>Spirituosen – Whisky &amp; Cognac</t>
        </is>
      </c>
      <c r="D56" s="17" t="inlineStr">
        <is>
          <t>Flasche 0,7 l</t>
        </is>
      </c>
      <c r="E56" s="15" t="inlineStr">
        <is>
          <t>Flasche</t>
        </is>
      </c>
      <c r="F56" s="17" t="inlineStr">
        <is>
          <t>1 Flasche</t>
        </is>
      </c>
      <c r="G56" s="17" t="inlineStr">
        <is>
          <t>Spirituosenhandel</t>
        </is>
      </c>
      <c r="H56" s="17" t="inlineStr">
        <is>
          <t>Keller</t>
        </is>
      </c>
      <c r="I56" s="17" t="inlineStr"/>
      <c r="K56">
        <f>IF($B56="",0,IF(Suche!$B$4="",1,IF(ISNUMBER(SEARCH(Suche!$B$4,$B56&amp;" "&amp;$C56&amp;" "&amp;$G56)),1,0)))</f>
        <v/>
      </c>
      <c r="L56">
        <f>IF($K56=0,"",SUM($K$5:$K56))</f>
        <v/>
      </c>
    </row>
    <row r="57">
      <c r="A57" s="12" t="inlineStr">
        <is>
          <t>11-001</t>
        </is>
      </c>
      <c r="B57" s="13" t="inlineStr">
        <is>
          <t>Coca-Cola 0,2 l Glas</t>
        </is>
      </c>
      <c r="C57" s="14" t="inlineStr">
        <is>
          <t>AFG – Limonaden</t>
        </is>
      </c>
      <c r="D57" s="14" t="inlineStr">
        <is>
          <t>Kasten 24 × 0,2 l</t>
        </is>
      </c>
      <c r="E57" s="12" t="inlineStr">
        <is>
          <t>Flasche</t>
        </is>
      </c>
      <c r="F57" s="14" t="inlineStr">
        <is>
          <t>24 Flaschen/Kasten</t>
        </is>
      </c>
      <c r="G57" s="14" t="inlineStr">
        <is>
          <t>Getränkefachgroßhandel</t>
        </is>
      </c>
      <c r="H57" s="14" t="inlineStr">
        <is>
          <t>Getränkelager</t>
        </is>
      </c>
      <c r="I57" s="14" t="inlineStr"/>
      <c r="K57">
        <f>IF($B57="",0,IF(Suche!$B$4="",1,IF(ISNUMBER(SEARCH(Suche!$B$4,$B57&amp;" "&amp;$C57&amp;" "&amp;$G57)),1,0)))</f>
        <v/>
      </c>
      <c r="L57">
        <f>IF($K57=0,"",SUM($K$5:$K57))</f>
        <v/>
      </c>
    </row>
    <row r="58">
      <c r="A58" s="15" t="inlineStr">
        <is>
          <t>11-002</t>
        </is>
      </c>
      <c r="B58" s="16" t="inlineStr">
        <is>
          <t>Coca-Cola 0,33 l Glas</t>
        </is>
      </c>
      <c r="C58" s="17" t="inlineStr">
        <is>
          <t>AFG – Limonaden</t>
        </is>
      </c>
      <c r="D58" s="17" t="inlineStr">
        <is>
          <t>Kasten 24 × 0,33 l</t>
        </is>
      </c>
      <c r="E58" s="15" t="inlineStr">
        <is>
          <t>Flasche</t>
        </is>
      </c>
      <c r="F58" s="17" t="inlineStr">
        <is>
          <t>24 Flaschen/Kasten</t>
        </is>
      </c>
      <c r="G58" s="17" t="inlineStr">
        <is>
          <t>Getränkefachgroßhandel</t>
        </is>
      </c>
      <c r="H58" s="17" t="inlineStr">
        <is>
          <t>Getränkelager</t>
        </is>
      </c>
      <c r="I58" s="17" t="inlineStr"/>
      <c r="K58">
        <f>IF($B58="",0,IF(Suche!$B$4="",1,IF(ISNUMBER(SEARCH(Suche!$B$4,$B58&amp;" "&amp;$C58&amp;" "&amp;$G58)),1,0)))</f>
        <v/>
      </c>
      <c r="L58">
        <f>IF($K58=0,"",SUM($K$5:$K58))</f>
        <v/>
      </c>
    </row>
    <row r="59">
      <c r="A59" s="12" t="inlineStr">
        <is>
          <t>11-003</t>
        </is>
      </c>
      <c r="B59" s="13" t="inlineStr">
        <is>
          <t>Coca-Cola 1,0 l PET</t>
        </is>
      </c>
      <c r="C59" s="14" t="inlineStr">
        <is>
          <t>AFG – Limonaden</t>
        </is>
      </c>
      <c r="D59" s="14" t="inlineStr">
        <is>
          <t>Kasten 12 × 1,0 l</t>
        </is>
      </c>
      <c r="E59" s="12" t="inlineStr">
        <is>
          <t>Flasche</t>
        </is>
      </c>
      <c r="F59" s="14" t="inlineStr">
        <is>
          <t>12 Flaschen/Kasten</t>
        </is>
      </c>
      <c r="G59" s="14" t="inlineStr">
        <is>
          <t>Getränkefachgroßhandel</t>
        </is>
      </c>
      <c r="H59" s="14" t="inlineStr">
        <is>
          <t>Getränkelager</t>
        </is>
      </c>
      <c r="I59" s="14" t="inlineStr"/>
      <c r="K59">
        <f>IF($B59="",0,IF(Suche!$B$4="",1,IF(ISNUMBER(SEARCH(Suche!$B$4,$B59&amp;" "&amp;$C59&amp;" "&amp;$G59)),1,0)))</f>
        <v/>
      </c>
      <c r="L59">
        <f>IF($K59=0,"",SUM($K$5:$K59))</f>
        <v/>
      </c>
    </row>
    <row r="60">
      <c r="A60" s="15" t="inlineStr">
        <is>
          <t>11-006</t>
        </is>
      </c>
      <c r="B60" s="16" t="inlineStr">
        <is>
          <t>Coca-Cola light 0,2 l Glas</t>
        </is>
      </c>
      <c r="C60" s="17" t="inlineStr">
        <is>
          <t>AFG – Limonaden</t>
        </is>
      </c>
      <c r="D60" s="17" t="inlineStr">
        <is>
          <t>Kasten 24 × 0,2 l</t>
        </is>
      </c>
      <c r="E60" s="15" t="inlineStr">
        <is>
          <t>Flasche</t>
        </is>
      </c>
      <c r="F60" s="17" t="inlineStr">
        <is>
          <t>24 Flaschen/Kasten</t>
        </is>
      </c>
      <c r="G60" s="17" t="inlineStr">
        <is>
          <t>Getränkefachgroßhandel</t>
        </is>
      </c>
      <c r="H60" s="17" t="inlineStr">
        <is>
          <t>Getränkelager</t>
        </is>
      </c>
      <c r="I60" s="17" t="inlineStr"/>
      <c r="K60">
        <f>IF($B60="",0,IF(Suche!$B$4="",1,IF(ISNUMBER(SEARCH(Suche!$B$4,$B60&amp;" "&amp;$C60&amp;" "&amp;$G60)),1,0)))</f>
        <v/>
      </c>
      <c r="L60">
        <f>IF($K60=0,"",SUM($K$5:$K60))</f>
        <v/>
      </c>
    </row>
    <row r="61">
      <c r="A61" s="12" t="inlineStr">
        <is>
          <t>11-004</t>
        </is>
      </c>
      <c r="B61" s="13" t="inlineStr">
        <is>
          <t>Coca-Cola Zero Sugar 0,2 l Glas</t>
        </is>
      </c>
      <c r="C61" s="14" t="inlineStr">
        <is>
          <t>AFG – Limonaden</t>
        </is>
      </c>
      <c r="D61" s="14" t="inlineStr">
        <is>
          <t>Kasten 24 × 0,2 l</t>
        </is>
      </c>
      <c r="E61" s="12" t="inlineStr">
        <is>
          <t>Flasche</t>
        </is>
      </c>
      <c r="F61" s="14" t="inlineStr">
        <is>
          <t>24 Flaschen/Kasten</t>
        </is>
      </c>
      <c r="G61" s="14" t="inlineStr">
        <is>
          <t>Getränkefachgroßhandel</t>
        </is>
      </c>
      <c r="H61" s="14" t="inlineStr">
        <is>
          <t>Getränkelager</t>
        </is>
      </c>
      <c r="I61" s="14" t="inlineStr"/>
      <c r="K61">
        <f>IF($B61="",0,IF(Suche!$B$4="",1,IF(ISNUMBER(SEARCH(Suche!$B$4,$B61&amp;" "&amp;$C61&amp;" "&amp;$G61)),1,0)))</f>
        <v/>
      </c>
      <c r="L61">
        <f>IF($K61=0,"",SUM($K$5:$K61))</f>
        <v/>
      </c>
    </row>
    <row r="62">
      <c r="A62" s="15" t="inlineStr">
        <is>
          <t>11-005</t>
        </is>
      </c>
      <c r="B62" s="16" t="inlineStr">
        <is>
          <t>Coca-Cola Zero Sugar 0,33 l Glas</t>
        </is>
      </c>
      <c r="C62" s="17" t="inlineStr">
        <is>
          <t>AFG – Limonaden</t>
        </is>
      </c>
      <c r="D62" s="17" t="inlineStr">
        <is>
          <t>Kasten 24 × 0,33 l</t>
        </is>
      </c>
      <c r="E62" s="15" t="inlineStr">
        <is>
          <t>Flasche</t>
        </is>
      </c>
      <c r="F62" s="17" t="inlineStr">
        <is>
          <t>24 Flaschen/Kasten</t>
        </is>
      </c>
      <c r="G62" s="17" t="inlineStr">
        <is>
          <t>Getränkefachgroßhandel</t>
        </is>
      </c>
      <c r="H62" s="17" t="inlineStr">
        <is>
          <t>Getränkelager</t>
        </is>
      </c>
      <c r="I62" s="17" t="inlineStr"/>
      <c r="K62">
        <f>IF($B62="",0,IF(Suche!$B$4="",1,IF(ISNUMBER(SEARCH(Suche!$B$4,$B62&amp;" "&amp;$C62&amp;" "&amp;$G62)),1,0)))</f>
        <v/>
      </c>
      <c r="L62">
        <f>IF($K62=0,"",SUM($K$5:$K62))</f>
        <v/>
      </c>
    </row>
    <row r="63">
      <c r="A63" s="12" t="inlineStr">
        <is>
          <t>60-003</t>
        </is>
      </c>
      <c r="B63" s="13" t="inlineStr">
        <is>
          <t>Cocktailkirschen im Glas 720 ml</t>
        </is>
      </c>
      <c r="C63" s="14" t="inlineStr">
        <is>
          <t>Bar – Zubehör &amp; Frischware</t>
        </is>
      </c>
      <c r="D63" s="14" t="inlineStr">
        <is>
          <t>Glas 720 ml</t>
        </is>
      </c>
      <c r="E63" s="12" t="inlineStr">
        <is>
          <t>Glas</t>
        </is>
      </c>
      <c r="F63" s="14" t="inlineStr">
        <is>
          <t>1 Glas</t>
        </is>
      </c>
      <c r="G63" s="14" t="inlineStr">
        <is>
          <t>Lebensmittelgroßhandel</t>
        </is>
      </c>
      <c r="H63" s="14" t="inlineStr">
        <is>
          <t>Bar</t>
        </is>
      </c>
      <c r="I63" s="14" t="inlineStr"/>
      <c r="K63">
        <f>IF($B63="",0,IF(Suche!$B$4="",1,IF(ISNUMBER(SEARCH(Suche!$B$4,$B63&amp;" "&amp;$C63&amp;" "&amp;$G63)),1,0)))</f>
        <v/>
      </c>
      <c r="L63">
        <f>IF($K63=0,"",SUM($K$5:$K63))</f>
        <v/>
      </c>
    </row>
    <row r="64">
      <c r="A64" s="15" t="inlineStr">
        <is>
          <t>60-002</t>
        </is>
      </c>
      <c r="B64" s="16" t="inlineStr">
        <is>
          <t>Cocktailspieße</t>
        </is>
      </c>
      <c r="C64" s="17" t="inlineStr">
        <is>
          <t>Bar – Zubehör &amp; Frischware</t>
        </is>
      </c>
      <c r="D64" s="17" t="inlineStr">
        <is>
          <t>Packung 500 Stück</t>
        </is>
      </c>
      <c r="E64" s="15" t="inlineStr">
        <is>
          <t>Packung</t>
        </is>
      </c>
      <c r="F64" s="17" t="inlineStr">
        <is>
          <t>500 Stück/Packung</t>
        </is>
      </c>
      <c r="G64" s="17" t="inlineStr">
        <is>
          <t>Lebensmittelgroßhandel</t>
        </is>
      </c>
      <c r="H64" s="17" t="inlineStr">
        <is>
          <t>Bar</t>
        </is>
      </c>
      <c r="I64" s="17" t="inlineStr"/>
      <c r="K64">
        <f>IF($B64="",0,IF(Suche!$B$4="",1,IF(ISNUMBER(SEARCH(Suche!$B$4,$B64&amp;" "&amp;$C64&amp;" "&amp;$G64)),1,0)))</f>
        <v/>
      </c>
      <c r="L64">
        <f>IF($K64=0,"",SUM($K$5:$K64))</f>
        <v/>
      </c>
    </row>
    <row r="65">
      <c r="A65" s="12" t="inlineStr">
        <is>
          <t>45-003</t>
        </is>
      </c>
      <c r="B65" s="13" t="inlineStr">
        <is>
          <t>Cointreau 0,7 l</t>
        </is>
      </c>
      <c r="C65" s="14" t="inlineStr">
        <is>
          <t>Spirituosen – Liköre</t>
        </is>
      </c>
      <c r="D65" s="14" t="inlineStr">
        <is>
          <t>Flasche 0,7 l</t>
        </is>
      </c>
      <c r="E65" s="12" t="inlineStr">
        <is>
          <t>Flasche</t>
        </is>
      </c>
      <c r="F65" s="14" t="inlineStr">
        <is>
          <t>1 Flasche</t>
        </is>
      </c>
      <c r="G65" s="14" t="inlineStr">
        <is>
          <t>Spirituosenhandel</t>
        </is>
      </c>
      <c r="H65" s="14" t="inlineStr">
        <is>
          <t>Keller</t>
        </is>
      </c>
      <c r="I65" s="14" t="inlineStr"/>
      <c r="K65">
        <f>IF($B65="",0,IF(Suche!$B$4="",1,IF(ISNUMBER(SEARCH(Suche!$B$4,$B65&amp;" "&amp;$C65&amp;" "&amp;$G65)),1,0)))</f>
        <v/>
      </c>
      <c r="L65">
        <f>IF($K65=0,"",SUM($K$5:$K65))</f>
        <v/>
      </c>
    </row>
    <row r="66">
      <c r="A66" s="15" t="inlineStr">
        <is>
          <t>70-034</t>
        </is>
      </c>
      <c r="B66" s="16" t="inlineStr">
        <is>
          <t>Cornflakes 500 g</t>
        </is>
      </c>
      <c r="C66" s="17" t="inlineStr">
        <is>
          <t>Küche – Trockenlager</t>
        </is>
      </c>
      <c r="D66" s="17" t="inlineStr">
        <is>
          <t>Karton 10 × 500 g</t>
        </is>
      </c>
      <c r="E66" s="15" t="inlineStr">
        <is>
          <t>Packung</t>
        </is>
      </c>
      <c r="F66" s="17" t="inlineStr">
        <is>
          <t>10 Packungen/Karton</t>
        </is>
      </c>
      <c r="G66" s="17" t="inlineStr">
        <is>
          <t>Lebensmittelgroßhandel</t>
        </is>
      </c>
      <c r="H66" s="17" t="inlineStr">
        <is>
          <t>Trockenlager</t>
        </is>
      </c>
      <c r="I66" s="17" t="inlineStr"/>
      <c r="K66">
        <f>IF($B66="",0,IF(Suche!$B$4="",1,IF(ISNUMBER(SEARCH(Suche!$B$4,$B66&amp;" "&amp;$C66&amp;" "&amp;$G66)),1,0)))</f>
        <v/>
      </c>
      <c r="L66">
        <f>IF($K66=0,"",SUM($K$5:$K66))</f>
        <v/>
      </c>
    </row>
    <row r="67">
      <c r="A67" s="12" t="inlineStr">
        <is>
          <t>20-017</t>
        </is>
      </c>
      <c r="B67" s="13" t="inlineStr">
        <is>
          <t>Corona Extra 0,355 l Glas</t>
        </is>
      </c>
      <c r="C67" s="14" t="inlineStr">
        <is>
          <t>Bier</t>
        </is>
      </c>
      <c r="D67" s="14" t="inlineStr">
        <is>
          <t>Kasten 24 × 0,355 l</t>
        </is>
      </c>
      <c r="E67" s="12" t="inlineStr">
        <is>
          <t>Flasche</t>
        </is>
      </c>
      <c r="F67" s="14" t="inlineStr">
        <is>
          <t>24 Flaschen/Kasten</t>
        </is>
      </c>
      <c r="G67" s="14" t="inlineStr">
        <is>
          <t>Getränkefachgroßhandel</t>
        </is>
      </c>
      <c r="H67" s="14" t="inlineStr">
        <is>
          <t>Getränkelager</t>
        </is>
      </c>
      <c r="I67" s="14" t="inlineStr"/>
      <c r="K67">
        <f>IF($B67="",0,IF(Suche!$B$4="",1,IF(ISNUMBER(SEARCH(Suche!$B$4,$B67&amp;" "&amp;$C67&amp;" "&amp;$G67)),1,0)))</f>
        <v/>
      </c>
      <c r="L67">
        <f>IF($K67=0,"",SUM($K$5:$K67))</f>
        <v/>
      </c>
    </row>
    <row r="68">
      <c r="A68" s="15" t="inlineStr">
        <is>
          <t>33-007</t>
        </is>
      </c>
      <c r="B68" s="16" t="inlineStr">
        <is>
          <t>Crémant d'Alsace brut 0,75 l</t>
        </is>
      </c>
      <c r="C68" s="17" t="inlineStr">
        <is>
          <t>Sekt &amp; Champagner</t>
        </is>
      </c>
      <c r="D68" s="17" t="inlineStr">
        <is>
          <t>Karton 6 × 0,75 l</t>
        </is>
      </c>
      <c r="E68" s="15" t="inlineStr">
        <is>
          <t>Flasche</t>
        </is>
      </c>
      <c r="F68" s="17" t="inlineStr">
        <is>
          <t>6 Flaschen/Karton</t>
        </is>
      </c>
      <c r="G68" s="17" t="inlineStr">
        <is>
          <t>Weinhandel</t>
        </is>
      </c>
      <c r="H68" s="17" t="inlineStr">
        <is>
          <t>Weinkeller</t>
        </is>
      </c>
      <c r="I68" s="17" t="inlineStr"/>
      <c r="K68">
        <f>IF($B68="",0,IF(Suche!$B$4="",1,IF(ISNUMBER(SEARCH(Suche!$B$4,$B68&amp;" "&amp;$C68&amp;" "&amp;$G68)),1,0)))</f>
        <v/>
      </c>
      <c r="L68">
        <f>IF($K68=0,"",SUM($K$5:$K68))</f>
        <v/>
      </c>
    </row>
    <row r="69">
      <c r="A69" s="12" t="inlineStr">
        <is>
          <t>72-007</t>
        </is>
      </c>
      <c r="B69" s="13" t="inlineStr">
        <is>
          <t>Crème fraîche 500 g</t>
        </is>
      </c>
      <c r="C69" s="14" t="inlineStr">
        <is>
          <t>Küche – Kühlhaus</t>
        </is>
      </c>
      <c r="D69" s="14" t="inlineStr">
        <is>
          <t>Becher 500 g</t>
        </is>
      </c>
      <c r="E69" s="12" t="inlineStr">
        <is>
          <t>Stück</t>
        </is>
      </c>
      <c r="F69" s="14" t="inlineStr">
        <is>
          <t>1 Becher</t>
        </is>
      </c>
      <c r="G69" s="14" t="inlineStr">
        <is>
          <t>Lebensmittelgroßhandel</t>
        </is>
      </c>
      <c r="H69" s="14" t="inlineStr">
        <is>
          <t>Kühlhaus</t>
        </is>
      </c>
      <c r="I69" s="14" t="inlineStr"/>
      <c r="K69">
        <f>IF($B69="",0,IF(Suche!$B$4="",1,IF(ISNUMBER(SEARCH(Suche!$B$4,$B69&amp;" "&amp;$C69&amp;" "&amp;$G69)),1,0)))</f>
        <v/>
      </c>
      <c r="L69">
        <f>IF($K69=0,"",SUM($K$5:$K69))</f>
        <v/>
      </c>
    </row>
    <row r="70">
      <c r="A70" s="15" t="inlineStr">
        <is>
          <t>73-012</t>
        </is>
      </c>
      <c r="B70" s="16" t="inlineStr">
        <is>
          <t>Croissant TK</t>
        </is>
      </c>
      <c r="C70" s="17" t="inlineStr">
        <is>
          <t>Küche – Tiefkühl</t>
        </is>
      </c>
      <c r="D70" s="17" t="inlineStr">
        <is>
          <t>Karton 60 Stück</t>
        </is>
      </c>
      <c r="E70" s="15" t="inlineStr">
        <is>
          <t>Stück</t>
        </is>
      </c>
      <c r="F70" s="17" t="inlineStr">
        <is>
          <t>60 Stück/Karton</t>
        </is>
      </c>
      <c r="G70" s="17" t="inlineStr">
        <is>
          <t>Lebensmittelgroßhandel</t>
        </is>
      </c>
      <c r="H70" s="17" t="inlineStr">
        <is>
          <t>Tiefkühllager</t>
        </is>
      </c>
      <c r="I70" s="17" t="inlineStr"/>
      <c r="K70">
        <f>IF($B70="",0,IF(Suche!$B$4="",1,IF(ISNUMBER(SEARCH(Suche!$B$4,$B70&amp;" "&amp;$C70&amp;" "&amp;$G70)),1,0)))</f>
        <v/>
      </c>
      <c r="L70">
        <f>IF($K70=0,"",SUM($K$5:$K70))</f>
        <v/>
      </c>
    </row>
    <row r="71">
      <c r="A71" s="12" t="inlineStr">
        <is>
          <t>70-013</t>
        </is>
      </c>
      <c r="B71" s="13" t="inlineStr">
        <is>
          <t>Currypulver 500 g</t>
        </is>
      </c>
      <c r="C71" s="14" t="inlineStr">
        <is>
          <t>Küche – Trockenlager</t>
        </is>
      </c>
      <c r="D71" s="14" t="inlineStr">
        <is>
          <t>Beutel 500 g</t>
        </is>
      </c>
      <c r="E71" s="12" t="inlineStr">
        <is>
          <t>Beutel</t>
        </is>
      </c>
      <c r="F71" s="14" t="inlineStr">
        <is>
          <t>500 g/Beutel</t>
        </is>
      </c>
      <c r="G71" s="14" t="inlineStr">
        <is>
          <t>Lebensmittelgroßhandel</t>
        </is>
      </c>
      <c r="H71" s="14" t="inlineStr">
        <is>
          <t>Trockenlager</t>
        </is>
      </c>
      <c r="I71" s="14" t="inlineStr"/>
      <c r="K71">
        <f>IF($B71="",0,IF(Suche!$B$4="",1,IF(ISNUMBER(SEARCH(Suche!$B$4,$B71&amp;" "&amp;$C71&amp;" "&amp;$G71)),1,0)))</f>
        <v/>
      </c>
      <c r="L71">
        <f>IF($K71=0,"",SUM($K$5:$K71))</f>
        <v/>
      </c>
    </row>
    <row r="72">
      <c r="A72" s="15" t="inlineStr">
        <is>
          <t>71-008</t>
        </is>
      </c>
      <c r="B72" s="16" t="inlineStr">
        <is>
          <t>Demi-glace 1 kg</t>
        </is>
      </c>
      <c r="C72" s="17" t="inlineStr">
        <is>
          <t>Küche – Konserven &amp; Saucen</t>
        </is>
      </c>
      <c r="D72" s="17" t="inlineStr">
        <is>
          <t>Eimer 1 kg</t>
        </is>
      </c>
      <c r="E72" s="15" t="inlineStr">
        <is>
          <t>Eimer</t>
        </is>
      </c>
      <c r="F72" s="17" t="inlineStr">
        <is>
          <t>1 kg/Eimer</t>
        </is>
      </c>
      <c r="G72" s="17" t="inlineStr">
        <is>
          <t>Lebensmittelgroßhandel</t>
        </is>
      </c>
      <c r="H72" s="17" t="inlineStr">
        <is>
          <t>Trockenlager</t>
        </is>
      </c>
      <c r="I72" s="17" t="inlineStr"/>
      <c r="K72">
        <f>IF($B72="",0,IF(Suche!$B$4="",1,IF(ISNUMBER(SEARCH(Suche!$B$4,$B72&amp;" "&amp;$C72&amp;" "&amp;$G72)),1,0)))</f>
        <v/>
      </c>
      <c r="L72">
        <f>IF($K72=0,"",SUM($K$5:$K72))</f>
        <v/>
      </c>
    </row>
    <row r="73">
      <c r="A73" s="12" t="inlineStr">
        <is>
          <t>71-012</t>
        </is>
      </c>
      <c r="B73" s="13" t="inlineStr">
        <is>
          <t>Dijonsenf 1 kg</t>
        </is>
      </c>
      <c r="C73" s="14" t="inlineStr">
        <is>
          <t>Küche – Konserven &amp; Saucen</t>
        </is>
      </c>
      <c r="D73" s="14" t="inlineStr">
        <is>
          <t>Glas 1 kg</t>
        </is>
      </c>
      <c r="E73" s="12" t="inlineStr">
        <is>
          <t>Glas</t>
        </is>
      </c>
      <c r="F73" s="14" t="inlineStr">
        <is>
          <t>1 kg/Glas</t>
        </is>
      </c>
      <c r="G73" s="14" t="inlineStr">
        <is>
          <t>Lebensmittelgroßhandel</t>
        </is>
      </c>
      <c r="H73" s="14" t="inlineStr">
        <is>
          <t>Trockenlager</t>
        </is>
      </c>
      <c r="I73" s="14" t="inlineStr"/>
      <c r="K73">
        <f>IF($B73="",0,IF(Suche!$B$4="",1,IF(ISNUMBER(SEARCH(Suche!$B$4,$B73&amp;" "&amp;$C73&amp;" "&amp;$G73)),1,0)))</f>
        <v/>
      </c>
      <c r="L73">
        <f>IF($K73=0,"",SUM($K$5:$K73))</f>
        <v/>
      </c>
    </row>
    <row r="74">
      <c r="A74" s="15" t="inlineStr">
        <is>
          <t>70-003</t>
        </is>
      </c>
      <c r="B74" s="16" t="inlineStr">
        <is>
          <t>Dinkelmehl Type 630 1 kg</t>
        </is>
      </c>
      <c r="C74" s="17" t="inlineStr">
        <is>
          <t>Küche – Trockenlager</t>
        </is>
      </c>
      <c r="D74" s="17" t="inlineStr">
        <is>
          <t>Packung 1 kg</t>
        </is>
      </c>
      <c r="E74" s="15" t="inlineStr">
        <is>
          <t>Packung</t>
        </is>
      </c>
      <c r="F74" s="17" t="inlineStr">
        <is>
          <t>1 kg/Packung</t>
        </is>
      </c>
      <c r="G74" s="17" t="inlineStr">
        <is>
          <t>Lebensmittelgroßhandel</t>
        </is>
      </c>
      <c r="H74" s="17" t="inlineStr">
        <is>
          <t>Trockenlager</t>
        </is>
      </c>
      <c r="I74" s="17" t="inlineStr"/>
      <c r="K74">
        <f>IF($B74="",0,IF(Suche!$B$4="",1,IF(ISNUMBER(SEARCH(Suche!$B$4,$B74&amp;" "&amp;$C74&amp;" "&amp;$G74)),1,0)))</f>
        <v/>
      </c>
      <c r="L74">
        <f>IF($K74=0,"",SUM($K$5:$K74))</f>
        <v/>
      </c>
    </row>
    <row r="75">
      <c r="A75" s="12" t="inlineStr">
        <is>
          <t>45-002</t>
        </is>
      </c>
      <c r="B75" s="13" t="inlineStr">
        <is>
          <t>Disaronno Amaretto 0,7 l</t>
        </is>
      </c>
      <c r="C75" s="14" t="inlineStr">
        <is>
          <t>Spirituosen – Liköre</t>
        </is>
      </c>
      <c r="D75" s="14" t="inlineStr">
        <is>
          <t>Flasche 0,7 l</t>
        </is>
      </c>
      <c r="E75" s="12" t="inlineStr">
        <is>
          <t>Flasche</t>
        </is>
      </c>
      <c r="F75" s="14" t="inlineStr">
        <is>
          <t>1 Flasche</t>
        </is>
      </c>
      <c r="G75" s="14" t="inlineStr">
        <is>
          <t>Spirituosenhandel</t>
        </is>
      </c>
      <c r="H75" s="14" t="inlineStr">
        <is>
          <t>Keller</t>
        </is>
      </c>
      <c r="I75" s="14" t="inlineStr"/>
      <c r="K75">
        <f>IF($B75="",0,IF(Suche!$B$4="",1,IF(ISNUMBER(SEARCH(Suche!$B$4,$B75&amp;" "&amp;$C75&amp;" "&amp;$G75)),1,0)))</f>
        <v/>
      </c>
      <c r="L75">
        <f>IF($K75=0,"",SUM($K$5:$K75))</f>
        <v/>
      </c>
    </row>
    <row r="76">
      <c r="A76" s="15" t="inlineStr">
        <is>
          <t>32-006</t>
        </is>
      </c>
      <c r="B76" s="16" t="inlineStr">
        <is>
          <t>Dornfelder QbA halbtrocken 0,75 l</t>
        </is>
      </c>
      <c r="C76" s="17" t="inlineStr">
        <is>
          <t>Wein – Rot</t>
        </is>
      </c>
      <c r="D76" s="17" t="inlineStr">
        <is>
          <t>Karton 6 × 0,75 l</t>
        </is>
      </c>
      <c r="E76" s="15" t="inlineStr">
        <is>
          <t>Flasche</t>
        </is>
      </c>
      <c r="F76" s="17" t="inlineStr">
        <is>
          <t>6 Flaschen/Karton</t>
        </is>
      </c>
      <c r="G76" s="17" t="inlineStr">
        <is>
          <t>Weinhandel</t>
        </is>
      </c>
      <c r="H76" s="17" t="inlineStr">
        <is>
          <t>Weinkeller</t>
        </is>
      </c>
      <c r="I76" s="17" t="inlineStr"/>
      <c r="K76">
        <f>IF($B76="",0,IF(Suche!$B$4="",1,IF(ISNUMBER(SEARCH(Suche!$B$4,$B76&amp;" "&amp;$C76&amp;" "&amp;$G76)),1,0)))</f>
        <v/>
      </c>
      <c r="L76">
        <f>IF($K76=0,"",SUM($K$5:$K76))</f>
        <v/>
      </c>
    </row>
    <row r="77">
      <c r="A77" s="12" t="inlineStr">
        <is>
          <t>80-001</t>
        </is>
      </c>
      <c r="B77" s="13" t="inlineStr">
        <is>
          <t>Duschgel Spender 300 ml</t>
        </is>
      </c>
      <c r="C77" s="14" t="inlineStr">
        <is>
          <t>Housekeeping – Gästeartikel</t>
        </is>
      </c>
      <c r="D77" s="14" t="inlineStr">
        <is>
          <t>Karton 20 Stück</t>
        </is>
      </c>
      <c r="E77" s="12" t="inlineStr">
        <is>
          <t>Stück</t>
        </is>
      </c>
      <c r="F77" s="14" t="inlineStr">
        <is>
          <t>20 Stück/Karton</t>
        </is>
      </c>
      <c r="G77" s="14" t="inlineStr">
        <is>
          <t>Hygiene- &amp; Reinigungsbedarf</t>
        </is>
      </c>
      <c r="H77" s="14" t="inlineStr">
        <is>
          <t>Housekeeping</t>
        </is>
      </c>
      <c r="I77" s="14" t="inlineStr"/>
      <c r="K77">
        <f>IF($B77="",0,IF(Suche!$B$4="",1,IF(ISNUMBER(SEARCH(Suche!$B$4,$B77&amp;" "&amp;$C77&amp;" "&amp;$G77)),1,0)))</f>
        <v/>
      </c>
      <c r="L77">
        <f>IF($K77=0,"",SUM($K$5:$K77))</f>
        <v/>
      </c>
    </row>
    <row r="78">
      <c r="A78" s="15" t="inlineStr">
        <is>
          <t>80-005</t>
        </is>
      </c>
      <c r="B78" s="16" t="inlineStr">
        <is>
          <t>Duschhaube</t>
        </is>
      </c>
      <c r="C78" s="17" t="inlineStr">
        <is>
          <t>Housekeeping – Gästeartikel</t>
        </is>
      </c>
      <c r="D78" s="17" t="inlineStr">
        <is>
          <t>Karton 500 Stück</t>
        </is>
      </c>
      <c r="E78" s="15" t="inlineStr">
        <is>
          <t>Stück</t>
        </is>
      </c>
      <c r="F78" s="17" t="inlineStr">
        <is>
          <t>500 Stück/Karton</t>
        </is>
      </c>
      <c r="G78" s="17" t="inlineStr">
        <is>
          <t>Hygiene- &amp; Reinigungsbedarf</t>
        </is>
      </c>
      <c r="H78" s="17" t="inlineStr">
        <is>
          <t>Housekeeping</t>
        </is>
      </c>
      <c r="I78" s="17" t="inlineStr"/>
      <c r="K78">
        <f>IF($B78="",0,IF(Suche!$B$4="",1,IF(ISNUMBER(SEARCH(Suche!$B$4,$B78&amp;" "&amp;$C78&amp;" "&amp;$G78)),1,0)))</f>
        <v/>
      </c>
      <c r="L78">
        <f>IF($K78=0,"",SUM($K$5:$K78))</f>
        <v/>
      </c>
    </row>
    <row r="79">
      <c r="A79" s="12" t="inlineStr">
        <is>
          <t>72-012</t>
        </is>
      </c>
      <c r="B79" s="13" t="inlineStr">
        <is>
          <t>Eier Größe M Freilandhaltung</t>
        </is>
      </c>
      <c r="C79" s="14" t="inlineStr">
        <is>
          <t>Küche – Kühlhaus</t>
        </is>
      </c>
      <c r="D79" s="14" t="inlineStr">
        <is>
          <t>Karton 180 Stück</t>
        </is>
      </c>
      <c r="E79" s="12" t="inlineStr">
        <is>
          <t>Stück</t>
        </is>
      </c>
      <c r="F79" s="14" t="inlineStr">
        <is>
          <t>180 Eier/Karton</t>
        </is>
      </c>
      <c r="G79" s="14" t="inlineStr">
        <is>
          <t>Lebensmittelgroßhandel</t>
        </is>
      </c>
      <c r="H79" s="14" t="inlineStr">
        <is>
          <t>Kühlhaus</t>
        </is>
      </c>
      <c r="I79" s="14" t="inlineStr"/>
      <c r="K79">
        <f>IF($B79="",0,IF(Suche!$B$4="",1,IF(ISNUMBER(SEARCH(Suche!$B$4,$B79&amp;" "&amp;$C79&amp;" "&amp;$G79)),1,0)))</f>
        <v/>
      </c>
      <c r="L79">
        <f>IF($K79=0,"",SUM($K$5:$K79))</f>
        <v/>
      </c>
    </row>
    <row r="80">
      <c r="A80" s="15" t="inlineStr">
        <is>
          <t>45-009</t>
        </is>
      </c>
      <c r="B80" s="16" t="inlineStr">
        <is>
          <t>Eierlikör 0,7 l</t>
        </is>
      </c>
      <c r="C80" s="17" t="inlineStr">
        <is>
          <t>Spirituosen – Liköre</t>
        </is>
      </c>
      <c r="D80" s="17" t="inlineStr">
        <is>
          <t>Flasche 0,7 l</t>
        </is>
      </c>
      <c r="E80" s="15" t="inlineStr">
        <is>
          <t>Flasche</t>
        </is>
      </c>
      <c r="F80" s="17" t="inlineStr">
        <is>
          <t>1 Flasche</t>
        </is>
      </c>
      <c r="G80" s="17" t="inlineStr">
        <is>
          <t>Spirituosenhandel</t>
        </is>
      </c>
      <c r="H80" s="17" t="inlineStr">
        <is>
          <t>Keller</t>
        </is>
      </c>
      <c r="I80" s="17" t="inlineStr"/>
      <c r="K80">
        <f>IF($B80="",0,IF(Suche!$B$4="",1,IF(ISNUMBER(SEARCH(Suche!$B$4,$B80&amp;" "&amp;$C80&amp;" "&amp;$G80)),1,0)))</f>
        <v/>
      </c>
      <c r="L80">
        <f>IF($K80=0,"",SUM($K$5:$K80))</f>
        <v/>
      </c>
    </row>
    <row r="81">
      <c r="A81" s="12" t="inlineStr">
        <is>
          <t>81-018</t>
        </is>
      </c>
      <c r="B81" s="13" t="inlineStr">
        <is>
          <t>Einweghandschuhe Nitril Größe M</t>
        </is>
      </c>
      <c r="C81" s="14" t="inlineStr">
        <is>
          <t>Housekeeping – Reinigung</t>
        </is>
      </c>
      <c r="D81" s="14" t="inlineStr">
        <is>
          <t>Box 100 Stück</t>
        </is>
      </c>
      <c r="E81" s="12" t="inlineStr">
        <is>
          <t>Packung</t>
        </is>
      </c>
      <c r="F81" s="14" t="inlineStr">
        <is>
          <t>100 Stück/Box</t>
        </is>
      </c>
      <c r="G81" s="14" t="inlineStr">
        <is>
          <t>Hygiene- &amp; Reinigungsbedarf</t>
        </is>
      </c>
      <c r="H81" s="14" t="inlineStr">
        <is>
          <t>Housekeeping</t>
        </is>
      </c>
      <c r="I81" s="14" t="inlineStr"/>
      <c r="K81">
        <f>IF($B81="",0,IF(Suche!$B$4="",1,IF(ISNUMBER(SEARCH(Suche!$B$4,$B81&amp;" "&amp;$C81&amp;" "&amp;$G81)),1,0)))</f>
        <v/>
      </c>
      <c r="L81">
        <f>IF($K81=0,"",SUM($K$5:$K81))</f>
        <v/>
      </c>
    </row>
    <row r="82">
      <c r="A82" s="15" t="inlineStr">
        <is>
          <t>11-023</t>
        </is>
      </c>
      <c r="B82" s="16" t="inlineStr">
        <is>
          <t>Eistee Pfirsich 0,33 l Glas</t>
        </is>
      </c>
      <c r="C82" s="17" t="inlineStr">
        <is>
          <t>AFG – Limonaden</t>
        </is>
      </c>
      <c r="D82" s="17" t="inlineStr">
        <is>
          <t>Kasten 24 × 0,33 l</t>
        </is>
      </c>
      <c r="E82" s="15" t="inlineStr">
        <is>
          <t>Flasche</t>
        </is>
      </c>
      <c r="F82" s="17" t="inlineStr">
        <is>
          <t>24 Flaschen/Kasten</t>
        </is>
      </c>
      <c r="G82" s="17" t="inlineStr">
        <is>
          <t>Getränkefachgroßhandel</t>
        </is>
      </c>
      <c r="H82" s="17" t="inlineStr">
        <is>
          <t>Getränkelager</t>
        </is>
      </c>
      <c r="I82" s="17" t="inlineStr"/>
      <c r="K82">
        <f>IF($B82="",0,IF(Suche!$B$4="",1,IF(ISNUMBER(SEARCH(Suche!$B$4,$B82&amp;" "&amp;$C82&amp;" "&amp;$G82)),1,0)))</f>
        <v/>
      </c>
      <c r="L82">
        <f>IF($K82=0,"",SUM($K$5:$K82))</f>
        <v/>
      </c>
    </row>
    <row r="83">
      <c r="A83" s="12" t="inlineStr">
        <is>
          <t>11-024</t>
        </is>
      </c>
      <c r="B83" s="13" t="inlineStr">
        <is>
          <t>Eistee Zitrone 0,33 l Glas</t>
        </is>
      </c>
      <c r="C83" s="14" t="inlineStr">
        <is>
          <t>AFG – Limonaden</t>
        </is>
      </c>
      <c r="D83" s="14" t="inlineStr">
        <is>
          <t>Kasten 24 × 0,33 l</t>
        </is>
      </c>
      <c r="E83" s="12" t="inlineStr">
        <is>
          <t>Flasche</t>
        </is>
      </c>
      <c r="F83" s="14" t="inlineStr">
        <is>
          <t>24 Flaschen/Kasten</t>
        </is>
      </c>
      <c r="G83" s="14" t="inlineStr">
        <is>
          <t>Getränkefachgroßhandel</t>
        </is>
      </c>
      <c r="H83" s="14" t="inlineStr">
        <is>
          <t>Getränkelager</t>
        </is>
      </c>
      <c r="I83" s="14" t="inlineStr"/>
      <c r="K83">
        <f>IF($B83="",0,IF(Suche!$B$4="",1,IF(ISNUMBER(SEARCH(Suche!$B$4,$B83&amp;" "&amp;$C83&amp;" "&amp;$G83)),1,0)))</f>
        <v/>
      </c>
      <c r="L83">
        <f>IF($K83=0,"",SUM($K$5:$K83))</f>
        <v/>
      </c>
    </row>
    <row r="84">
      <c r="A84" s="15" t="inlineStr">
        <is>
          <t>72-013</t>
        </is>
      </c>
      <c r="B84" s="16" t="inlineStr">
        <is>
          <t>Emmentaler am Stück</t>
        </is>
      </c>
      <c r="C84" s="17" t="inlineStr">
        <is>
          <t>Küche – Kühlhaus</t>
        </is>
      </c>
      <c r="D84" s="17" t="inlineStr">
        <is>
          <t>Stück ca. 3 kg</t>
        </is>
      </c>
      <c r="E84" s="15" t="inlineStr">
        <is>
          <t>kg</t>
        </is>
      </c>
      <c r="F84" s="17" t="inlineStr">
        <is>
          <t>ca. 3 kg/Stück</t>
        </is>
      </c>
      <c r="G84" s="17" t="inlineStr">
        <is>
          <t>Lebensmittelgroßhandel</t>
        </is>
      </c>
      <c r="H84" s="17" t="inlineStr">
        <is>
          <t>Kühlhaus</t>
        </is>
      </c>
      <c r="I84" s="17" t="inlineStr"/>
      <c r="K84">
        <f>IF($B84="",0,IF(Suche!$B$4="",1,IF(ISNUMBER(SEARCH(Suche!$B$4,$B84&amp;" "&amp;$C84&amp;" "&amp;$G84)),1,0)))</f>
        <v/>
      </c>
      <c r="L84">
        <f>IF($K84=0,"",SUM($K$5:$K84))</f>
        <v/>
      </c>
    </row>
    <row r="85">
      <c r="A85" s="12" t="inlineStr">
        <is>
          <t>73-004</t>
        </is>
      </c>
      <c r="B85" s="13" t="inlineStr">
        <is>
          <t>Erbsen TK 2,5 kg</t>
        </is>
      </c>
      <c r="C85" s="14" t="inlineStr">
        <is>
          <t>Küche – Tiefkühl</t>
        </is>
      </c>
      <c r="D85" s="14" t="inlineStr">
        <is>
          <t>Karton 10 kg</t>
        </is>
      </c>
      <c r="E85" s="12" t="inlineStr">
        <is>
          <t>kg</t>
        </is>
      </c>
      <c r="F85" s="14" t="inlineStr">
        <is>
          <t>10 kg/Karton</t>
        </is>
      </c>
      <c r="G85" s="14" t="inlineStr">
        <is>
          <t>Lebensmittelgroßhandel</t>
        </is>
      </c>
      <c r="H85" s="14" t="inlineStr">
        <is>
          <t>Tiefkühllager</t>
        </is>
      </c>
      <c r="I85" s="14" t="inlineStr"/>
      <c r="K85">
        <f>IF($B85="",0,IF(Suche!$B$4="",1,IF(ISNUMBER(SEARCH(Suche!$B$4,$B85&amp;" "&amp;$C85&amp;" "&amp;$G85)),1,0)))</f>
        <v/>
      </c>
      <c r="L85">
        <f>IF($K85=0,"",SUM($K$5:$K85))</f>
        <v/>
      </c>
    </row>
    <row r="86">
      <c r="A86" s="15" t="inlineStr">
        <is>
          <t>71-020</t>
        </is>
      </c>
      <c r="B86" s="16" t="inlineStr">
        <is>
          <t>Erbsen und Möhren 2,5 kg</t>
        </is>
      </c>
      <c r="C86" s="17" t="inlineStr">
        <is>
          <t>Küche – Konserven &amp; Saucen</t>
        </is>
      </c>
      <c r="D86" s="17" t="inlineStr">
        <is>
          <t>Dose 2,5 kg</t>
        </is>
      </c>
      <c r="E86" s="15" t="inlineStr">
        <is>
          <t>Dose</t>
        </is>
      </c>
      <c r="F86" s="17" t="inlineStr">
        <is>
          <t>2,5 kg/Dose</t>
        </is>
      </c>
      <c r="G86" s="17" t="inlineStr">
        <is>
          <t>Lebensmittelgroßhandel</t>
        </is>
      </c>
      <c r="H86" s="17" t="inlineStr">
        <is>
          <t>Trockenlager</t>
        </is>
      </c>
      <c r="I86" s="17" t="inlineStr"/>
      <c r="K86">
        <f>IF($B86="",0,IF(Suche!$B$4="",1,IF(ISNUMBER(SEARCH(Suche!$B$4,$B86&amp;" "&amp;$C86&amp;" "&amp;$G86)),1,0)))</f>
        <v/>
      </c>
      <c r="L86">
        <f>IF($K86=0,"",SUM($K$5:$K86))</f>
        <v/>
      </c>
    </row>
    <row r="87">
      <c r="A87" s="12" t="inlineStr">
        <is>
          <t>73-015</t>
        </is>
      </c>
      <c r="B87" s="13" t="inlineStr">
        <is>
          <t>Erdbeereis 5 l</t>
        </is>
      </c>
      <c r="C87" s="14" t="inlineStr">
        <is>
          <t>Küche – Tiefkühl</t>
        </is>
      </c>
      <c r="D87" s="14" t="inlineStr">
        <is>
          <t>Behälter 5 l</t>
        </is>
      </c>
      <c r="E87" s="12" t="inlineStr">
        <is>
          <t>l</t>
        </is>
      </c>
      <c r="F87" s="14" t="inlineStr">
        <is>
          <t>5 l/Behälter</t>
        </is>
      </c>
      <c r="G87" s="14" t="inlineStr">
        <is>
          <t>Lebensmittelgroßhandel</t>
        </is>
      </c>
      <c r="H87" s="14" t="inlineStr">
        <is>
          <t>Tiefkühllager</t>
        </is>
      </c>
      <c r="I87" s="14" t="inlineStr"/>
      <c r="K87">
        <f>IF($B87="",0,IF(Suche!$B$4="",1,IF(ISNUMBER(SEARCH(Suche!$B$4,$B87&amp;" "&amp;$C87&amp;" "&amp;$G87)),1,0)))</f>
        <v/>
      </c>
      <c r="L87">
        <f>IF($K87=0,"",SUM($K$5:$K87))</f>
        <v/>
      </c>
    </row>
    <row r="88">
      <c r="A88" s="15" t="inlineStr">
        <is>
          <t>20-013</t>
        </is>
      </c>
      <c r="B88" s="16" t="inlineStr">
        <is>
          <t>Erdinger Alkoholfrei 0,5 l Glas</t>
        </is>
      </c>
      <c r="C88" s="17" t="inlineStr">
        <is>
          <t>Bier</t>
        </is>
      </c>
      <c r="D88" s="17" t="inlineStr">
        <is>
          <t>Kasten 20 × 0,5 l</t>
        </is>
      </c>
      <c r="E88" s="15" t="inlineStr">
        <is>
          <t>Flasche</t>
        </is>
      </c>
      <c r="F88" s="17" t="inlineStr">
        <is>
          <t>20 Flaschen/Kasten</t>
        </is>
      </c>
      <c r="G88" s="17" t="inlineStr">
        <is>
          <t>Getränkefachgroßhandel</t>
        </is>
      </c>
      <c r="H88" s="17" t="inlineStr">
        <is>
          <t>Getränkelager</t>
        </is>
      </c>
      <c r="I88" s="17" t="inlineStr"/>
      <c r="K88">
        <f>IF($B88="",0,IF(Suche!$B$4="",1,IF(ISNUMBER(SEARCH(Suche!$B$4,$B88&amp;" "&amp;$C88&amp;" "&amp;$G88)),1,0)))</f>
        <v/>
      </c>
      <c r="L88">
        <f>IF($K88=0,"",SUM($K$5:$K88))</f>
        <v/>
      </c>
    </row>
    <row r="89">
      <c r="A89" s="12" t="inlineStr">
        <is>
          <t>20-012</t>
        </is>
      </c>
      <c r="B89" s="13" t="inlineStr">
        <is>
          <t>Erdinger Weißbier Dunkel 0,5 l Glas</t>
        </is>
      </c>
      <c r="C89" s="14" t="inlineStr">
        <is>
          <t>Bier</t>
        </is>
      </c>
      <c r="D89" s="14" t="inlineStr">
        <is>
          <t>Kasten 20 × 0,5 l</t>
        </is>
      </c>
      <c r="E89" s="12" t="inlineStr">
        <is>
          <t>Flasche</t>
        </is>
      </c>
      <c r="F89" s="14" t="inlineStr">
        <is>
          <t>20 Flaschen/Kasten</t>
        </is>
      </c>
      <c r="G89" s="14" t="inlineStr">
        <is>
          <t>Getränkefachgroßhandel</t>
        </is>
      </c>
      <c r="H89" s="14" t="inlineStr">
        <is>
          <t>Getränkelager</t>
        </is>
      </c>
      <c r="I89" s="14" t="inlineStr"/>
      <c r="K89">
        <f>IF($B89="",0,IF(Suche!$B$4="",1,IF(ISNUMBER(SEARCH(Suche!$B$4,$B89&amp;" "&amp;$C89&amp;" "&amp;$G89)),1,0)))</f>
        <v/>
      </c>
      <c r="L89">
        <f>IF($K89=0,"",SUM($K$5:$K89))</f>
        <v/>
      </c>
    </row>
    <row r="90">
      <c r="A90" s="15" t="inlineStr">
        <is>
          <t>20-011</t>
        </is>
      </c>
      <c r="B90" s="16" t="inlineStr">
        <is>
          <t>Erdinger Weißbier Hell 0,5 l Glas</t>
        </is>
      </c>
      <c r="C90" s="17" t="inlineStr">
        <is>
          <t>Bier</t>
        </is>
      </c>
      <c r="D90" s="17" t="inlineStr">
        <is>
          <t>Kasten 20 × 0,5 l</t>
        </is>
      </c>
      <c r="E90" s="15" t="inlineStr">
        <is>
          <t>Flasche</t>
        </is>
      </c>
      <c r="F90" s="17" t="inlineStr">
        <is>
          <t>20 Flaschen/Kasten</t>
        </is>
      </c>
      <c r="G90" s="17" t="inlineStr">
        <is>
          <t>Getränkefachgroßhandel</t>
        </is>
      </c>
      <c r="H90" s="17" t="inlineStr">
        <is>
          <t>Getränkelager</t>
        </is>
      </c>
      <c r="I90" s="17" t="inlineStr"/>
      <c r="K90">
        <f>IF($B90="",0,IF(Suche!$B$4="",1,IF(ISNUMBER(SEARCH(Suche!$B$4,$B90&amp;" "&amp;$C90&amp;" "&amp;$G90)),1,0)))</f>
        <v/>
      </c>
      <c r="L90">
        <f>IF($K90=0,"",SUM($K$5:$K90))</f>
        <v/>
      </c>
    </row>
    <row r="91">
      <c r="A91" s="12" t="inlineStr">
        <is>
          <t>50-001</t>
        </is>
      </c>
      <c r="B91" s="13" t="inlineStr">
        <is>
          <t>Espressobohnen 1 kg</t>
        </is>
      </c>
      <c r="C91" s="14" t="inlineStr">
        <is>
          <t>Heißgetränke – Kaffee</t>
        </is>
      </c>
      <c r="D91" s="14" t="inlineStr">
        <is>
          <t>Karton 6 × 1 kg</t>
        </is>
      </c>
      <c r="E91" s="12" t="inlineStr">
        <is>
          <t>kg</t>
        </is>
      </c>
      <c r="F91" s="14" t="inlineStr">
        <is>
          <t>6 kg/Karton</t>
        </is>
      </c>
      <c r="G91" s="14" t="inlineStr">
        <is>
          <t>Kaffeelieferant</t>
        </is>
      </c>
      <c r="H91" s="14" t="inlineStr">
        <is>
          <t>Trockenlager</t>
        </is>
      </c>
      <c r="I91" s="14" t="inlineStr"/>
      <c r="K91">
        <f>IF($B91="",0,IF(Suche!$B$4="",1,IF(ISNUMBER(SEARCH(Suche!$B$4,$B91&amp;" "&amp;$C91&amp;" "&amp;$G91)),1,0)))</f>
        <v/>
      </c>
      <c r="L91">
        <f>IF($K91=0,"",SUM($K$5:$K91))</f>
        <v/>
      </c>
    </row>
    <row r="92">
      <c r="A92" s="15" t="inlineStr">
        <is>
          <t>50-003</t>
        </is>
      </c>
      <c r="B92" s="16" t="inlineStr">
        <is>
          <t>Espressobohnen entkoffeiniert 1 kg</t>
        </is>
      </c>
      <c r="C92" s="17" t="inlineStr">
        <is>
          <t>Heißgetränke – Kaffee</t>
        </is>
      </c>
      <c r="D92" s="17" t="inlineStr">
        <is>
          <t>Karton 6 × 1 kg</t>
        </is>
      </c>
      <c r="E92" s="15" t="inlineStr">
        <is>
          <t>kg</t>
        </is>
      </c>
      <c r="F92" s="17" t="inlineStr">
        <is>
          <t>6 kg/Karton</t>
        </is>
      </c>
      <c r="G92" s="17" t="inlineStr">
        <is>
          <t>Kaffeelieferant</t>
        </is>
      </c>
      <c r="H92" s="17" t="inlineStr">
        <is>
          <t>Trockenlager</t>
        </is>
      </c>
      <c r="I92" s="17" t="inlineStr"/>
      <c r="K92">
        <f>IF($B92="",0,IF(Suche!$B$4="",1,IF(ISNUMBER(SEARCH(Suche!$B$4,$B92&amp;" "&amp;$C92&amp;" "&amp;$G92)),1,0)))</f>
        <v/>
      </c>
      <c r="L92">
        <f>IF($K92=0,"",SUM($K$5:$K92))</f>
        <v/>
      </c>
    </row>
    <row r="93">
      <c r="A93" s="12" t="inlineStr">
        <is>
          <t>11-007</t>
        </is>
      </c>
      <c r="B93" s="13" t="inlineStr">
        <is>
          <t>Fanta Orange 0,2 l Glas</t>
        </is>
      </c>
      <c r="C93" s="14" t="inlineStr">
        <is>
          <t>AFG – Limonaden</t>
        </is>
      </c>
      <c r="D93" s="14" t="inlineStr">
        <is>
          <t>Kasten 24 × 0,2 l</t>
        </is>
      </c>
      <c r="E93" s="12" t="inlineStr">
        <is>
          <t>Flasche</t>
        </is>
      </c>
      <c r="F93" s="14" t="inlineStr">
        <is>
          <t>24 Flaschen/Kasten</t>
        </is>
      </c>
      <c r="G93" s="14" t="inlineStr">
        <is>
          <t>Getränkefachgroßhandel</t>
        </is>
      </c>
      <c r="H93" s="14" t="inlineStr">
        <is>
          <t>Getränkelager</t>
        </is>
      </c>
      <c r="I93" s="14" t="inlineStr"/>
      <c r="K93">
        <f>IF($B93="",0,IF(Suche!$B$4="",1,IF(ISNUMBER(SEARCH(Suche!$B$4,$B93&amp;" "&amp;$C93&amp;" "&amp;$G93)),1,0)))</f>
        <v/>
      </c>
      <c r="L93">
        <f>IF($K93=0,"",SUM($K$5:$K93))</f>
        <v/>
      </c>
    </row>
    <row r="94">
      <c r="A94" s="15" t="inlineStr">
        <is>
          <t>11-008</t>
        </is>
      </c>
      <c r="B94" s="16" t="inlineStr">
        <is>
          <t>Fanta Orange 0,33 l Glas</t>
        </is>
      </c>
      <c r="C94" s="17" t="inlineStr">
        <is>
          <t>AFG – Limonaden</t>
        </is>
      </c>
      <c r="D94" s="17" t="inlineStr">
        <is>
          <t>Kasten 24 × 0,33 l</t>
        </is>
      </c>
      <c r="E94" s="15" t="inlineStr">
        <is>
          <t>Flasche</t>
        </is>
      </c>
      <c r="F94" s="17" t="inlineStr">
        <is>
          <t>24 Flaschen/Kasten</t>
        </is>
      </c>
      <c r="G94" s="17" t="inlineStr">
        <is>
          <t>Getränkefachgroßhandel</t>
        </is>
      </c>
      <c r="H94" s="17" t="inlineStr">
        <is>
          <t>Getränkelager</t>
        </is>
      </c>
      <c r="I94" s="17" t="inlineStr"/>
      <c r="K94">
        <f>IF($B94="",0,IF(Suche!$B$4="",1,IF(ISNUMBER(SEARCH(Suche!$B$4,$B94&amp;" "&amp;$C94&amp;" "&amp;$G94)),1,0)))</f>
        <v/>
      </c>
      <c r="L94">
        <f>IF($K94=0,"",SUM($K$5:$K94))</f>
        <v/>
      </c>
    </row>
    <row r="95">
      <c r="A95" s="12" t="inlineStr">
        <is>
          <t>41-006</t>
        </is>
      </c>
      <c r="B95" s="13" t="inlineStr">
        <is>
          <t>Fernet-Branca 0,7 l</t>
        </is>
      </c>
      <c r="C95" s="14" t="inlineStr">
        <is>
          <t>Spirituosen – Bitter &amp; Aperitif</t>
        </is>
      </c>
      <c r="D95" s="14" t="inlineStr">
        <is>
          <t>Flasche 0,7 l</t>
        </is>
      </c>
      <c r="E95" s="12" t="inlineStr">
        <is>
          <t>Flasche</t>
        </is>
      </c>
      <c r="F95" s="14" t="inlineStr">
        <is>
          <t>1 Flasche</t>
        </is>
      </c>
      <c r="G95" s="14" t="inlineStr">
        <is>
          <t>Spirituosenhandel</t>
        </is>
      </c>
      <c r="H95" s="14" t="inlineStr">
        <is>
          <t>Keller</t>
        </is>
      </c>
      <c r="I95" s="14" t="inlineStr"/>
      <c r="K95">
        <f>IF($B95="",0,IF(Suche!$B$4="",1,IF(ISNUMBER(SEARCH(Suche!$B$4,$B95&amp;" "&amp;$C95&amp;" "&amp;$G95)),1,0)))</f>
        <v/>
      </c>
      <c r="L95">
        <f>IF($K95=0,"",SUM($K$5:$K95))</f>
        <v/>
      </c>
    </row>
    <row r="96">
      <c r="A96" s="15" t="inlineStr">
        <is>
          <t>11-019</t>
        </is>
      </c>
      <c r="B96" s="16" t="inlineStr">
        <is>
          <t>Fever-Tree Indian Tonic Water 0,2 l Glas</t>
        </is>
      </c>
      <c r="C96" s="17" t="inlineStr">
        <is>
          <t>AFG – Limonaden</t>
        </is>
      </c>
      <c r="D96" s="17" t="inlineStr">
        <is>
          <t>Kasten 24 × 0,2 l</t>
        </is>
      </c>
      <c r="E96" s="15" t="inlineStr">
        <is>
          <t>Flasche</t>
        </is>
      </c>
      <c r="F96" s="17" t="inlineStr">
        <is>
          <t>24 Flaschen/Kasten</t>
        </is>
      </c>
      <c r="G96" s="17" t="inlineStr">
        <is>
          <t>Getränkefachgroßhandel</t>
        </is>
      </c>
      <c r="H96" s="17" t="inlineStr">
        <is>
          <t>Getränkelager</t>
        </is>
      </c>
      <c r="I96" s="17" t="inlineStr"/>
      <c r="K96">
        <f>IF($B96="",0,IF(Suche!$B$4="",1,IF(ISNUMBER(SEARCH(Suche!$B$4,$B96&amp;" "&amp;$C96&amp;" "&amp;$G96)),1,0)))</f>
        <v/>
      </c>
      <c r="L96">
        <f>IF($K96=0,"",SUM($K$5:$K96))</f>
        <v/>
      </c>
    </row>
    <row r="97">
      <c r="A97" s="12" t="inlineStr">
        <is>
          <t>50-005</t>
        </is>
      </c>
      <c r="B97" s="13" t="inlineStr">
        <is>
          <t>Filterkaffee entkoffeiniert gemahlen 500 g</t>
        </is>
      </c>
      <c r="C97" s="14" t="inlineStr">
        <is>
          <t>Heißgetränke – Kaffee</t>
        </is>
      </c>
      <c r="D97" s="14" t="inlineStr">
        <is>
          <t>Karton 12 × 500 g</t>
        </is>
      </c>
      <c r="E97" s="12" t="inlineStr">
        <is>
          <t>Packung</t>
        </is>
      </c>
      <c r="F97" s="14" t="inlineStr">
        <is>
          <t>12 Packungen/Karton</t>
        </is>
      </c>
      <c r="G97" s="14" t="inlineStr">
        <is>
          <t>Kaffeelieferant</t>
        </is>
      </c>
      <c r="H97" s="14" t="inlineStr">
        <is>
          <t>Trockenlager</t>
        </is>
      </c>
      <c r="I97" s="14" t="inlineStr"/>
      <c r="K97">
        <f>IF($B97="",0,IF(Suche!$B$4="",1,IF(ISNUMBER(SEARCH(Suche!$B$4,$B97&amp;" "&amp;$C97&amp;" "&amp;$G97)),1,0)))</f>
        <v/>
      </c>
      <c r="L97">
        <f>IF($K97=0,"",SUM($K$5:$K97))</f>
        <v/>
      </c>
    </row>
    <row r="98">
      <c r="A98" s="15" t="inlineStr">
        <is>
          <t>50-004</t>
        </is>
      </c>
      <c r="B98" s="16" t="inlineStr">
        <is>
          <t>Filterkaffee gemahlen 500 g</t>
        </is>
      </c>
      <c r="C98" s="17" t="inlineStr">
        <is>
          <t>Heißgetränke – Kaffee</t>
        </is>
      </c>
      <c r="D98" s="17" t="inlineStr">
        <is>
          <t>Karton 12 × 500 g</t>
        </is>
      </c>
      <c r="E98" s="15" t="inlineStr">
        <is>
          <t>Packung</t>
        </is>
      </c>
      <c r="F98" s="17" t="inlineStr">
        <is>
          <t>12 Packungen/Karton</t>
        </is>
      </c>
      <c r="G98" s="17" t="inlineStr">
        <is>
          <t>Kaffeelieferant</t>
        </is>
      </c>
      <c r="H98" s="17" t="inlineStr">
        <is>
          <t>Trockenlager</t>
        </is>
      </c>
      <c r="I98" s="17" t="inlineStr"/>
      <c r="K98">
        <f>IF($B98="",0,IF(Suche!$B$4="",1,IF(ISNUMBER(SEARCH(Suche!$B$4,$B98&amp;" "&amp;$C98&amp;" "&amp;$G98)),1,0)))</f>
        <v/>
      </c>
      <c r="L98">
        <f>IF($K98=0,"",SUM($K$5:$K98))</f>
        <v/>
      </c>
    </row>
    <row r="99">
      <c r="A99" s="12" t="inlineStr">
        <is>
          <t>81-008</t>
        </is>
      </c>
      <c r="B99" s="13" t="inlineStr">
        <is>
          <t>Flächendesinfektion 1 l</t>
        </is>
      </c>
      <c r="C99" s="14" t="inlineStr">
        <is>
          <t>Housekeeping – Reinigung</t>
        </is>
      </c>
      <c r="D99" s="14" t="inlineStr">
        <is>
          <t>Flasche 1 l</t>
        </is>
      </c>
      <c r="E99" s="12" t="inlineStr">
        <is>
          <t>Flasche</t>
        </is>
      </c>
      <c r="F99" s="14" t="inlineStr">
        <is>
          <t>1 l/Flasche</t>
        </is>
      </c>
      <c r="G99" s="14" t="inlineStr">
        <is>
          <t>Hygiene- &amp; Reinigungsbedarf</t>
        </is>
      </c>
      <c r="H99" s="14" t="inlineStr">
        <is>
          <t>Housekeeping</t>
        </is>
      </c>
      <c r="I99" s="14" t="inlineStr"/>
      <c r="K99">
        <f>IF($B99="",0,IF(Suche!$B$4="",1,IF(ISNUMBER(SEARCH(Suche!$B$4,$B99&amp;" "&amp;$C99&amp;" "&amp;$G99)),1,0)))</f>
        <v/>
      </c>
      <c r="L99">
        <f>IF($K99=0,"",SUM($K$5:$K99))</f>
        <v/>
      </c>
    </row>
    <row r="100">
      <c r="A100" s="15" t="inlineStr">
        <is>
          <t>20-014</t>
        </is>
      </c>
      <c r="B100" s="16" t="inlineStr">
        <is>
          <t>Franziskaner Weissbier Naturtrüb 0,5 l Glas</t>
        </is>
      </c>
      <c r="C100" s="17" t="inlineStr">
        <is>
          <t>Bier</t>
        </is>
      </c>
      <c r="D100" s="17" t="inlineStr">
        <is>
          <t>Kasten 20 × 0,5 l</t>
        </is>
      </c>
      <c r="E100" s="15" t="inlineStr">
        <is>
          <t>Flasche</t>
        </is>
      </c>
      <c r="F100" s="17" t="inlineStr">
        <is>
          <t>20 Flaschen/Kasten</t>
        </is>
      </c>
      <c r="G100" s="17" t="inlineStr">
        <is>
          <t>Getränkefachgroßhandel</t>
        </is>
      </c>
      <c r="H100" s="17" t="inlineStr">
        <is>
          <t>Getränkelager</t>
        </is>
      </c>
      <c r="I100" s="17" t="inlineStr"/>
      <c r="K100">
        <f>IF($B100="",0,IF(Suche!$B$4="",1,IF(ISNUMBER(SEARCH(Suche!$B$4,$B100&amp;" "&amp;$C100&amp;" "&amp;$G100)),1,0)))</f>
        <v/>
      </c>
      <c r="L100">
        <f>IF($K100=0,"",SUM($K$5:$K100))</f>
        <v/>
      </c>
    </row>
    <row r="101">
      <c r="A101" s="12" t="inlineStr">
        <is>
          <t>90-005</t>
        </is>
      </c>
      <c r="B101" s="13" t="inlineStr">
        <is>
          <t>Frischhaltefolie 30 cm</t>
        </is>
      </c>
      <c r="C101" s="14" t="inlineStr">
        <is>
          <t>Verbrauchsmaterial Service</t>
        </is>
      </c>
      <c r="D101" s="14" t="inlineStr">
        <is>
          <t>Rolle 300 m</t>
        </is>
      </c>
      <c r="E101" s="12" t="inlineStr">
        <is>
          <t>Rolle</t>
        </is>
      </c>
      <c r="F101" s="14" t="inlineStr">
        <is>
          <t>300 m/Rolle</t>
        </is>
      </c>
      <c r="G101" s="14" t="inlineStr">
        <is>
          <t>Lebensmittelgroßhandel</t>
        </is>
      </c>
      <c r="H101" s="14" t="inlineStr">
        <is>
          <t>Keller</t>
        </is>
      </c>
      <c r="I101" s="14" t="inlineStr"/>
      <c r="K101">
        <f>IF($B101="",0,IF(Suche!$B$4="",1,IF(ISNUMBER(SEARCH(Suche!$B$4,$B101&amp;" "&amp;$C101&amp;" "&amp;$G101)),1,0)))</f>
        <v/>
      </c>
      <c r="L101">
        <f>IF($K101=0,"",SUM($K$5:$K101))</f>
        <v/>
      </c>
    </row>
    <row r="102">
      <c r="A102" s="15" t="inlineStr">
        <is>
          <t>72-018</t>
        </is>
      </c>
      <c r="B102" s="16" t="inlineStr">
        <is>
          <t>Frischkäse 1 kg</t>
        </is>
      </c>
      <c r="C102" s="17" t="inlineStr">
        <is>
          <t>Küche – Kühlhaus</t>
        </is>
      </c>
      <c r="D102" s="17" t="inlineStr">
        <is>
          <t>Becher 1 kg</t>
        </is>
      </c>
      <c r="E102" s="15" t="inlineStr">
        <is>
          <t>Stück</t>
        </is>
      </c>
      <c r="F102" s="17" t="inlineStr">
        <is>
          <t>1 Becher</t>
        </is>
      </c>
      <c r="G102" s="17" t="inlineStr">
        <is>
          <t>Lebensmittelgroßhandel</t>
        </is>
      </c>
      <c r="H102" s="17" t="inlineStr">
        <is>
          <t>Kühlhaus</t>
        </is>
      </c>
      <c r="I102" s="17" t="inlineStr"/>
      <c r="K102">
        <f>IF($B102="",0,IF(Suche!$B$4="",1,IF(ISNUMBER(SEARCH(Suche!$B$4,$B102&amp;" "&amp;$C102&amp;" "&amp;$G102)),1,0)))</f>
        <v/>
      </c>
      <c r="L102">
        <f>IF($K102=0,"",SUM($K$5:$K102))</f>
        <v/>
      </c>
    </row>
    <row r="103">
      <c r="A103" s="12" t="inlineStr">
        <is>
          <t>51-007</t>
        </is>
      </c>
      <c r="B103" s="13" t="inlineStr">
        <is>
          <t>Früchtetee Teebeutel</t>
        </is>
      </c>
      <c r="C103" s="14" t="inlineStr">
        <is>
          <t>Heißgetränke – Tee &amp; Kakao</t>
        </is>
      </c>
      <c r="D103" s="14" t="inlineStr">
        <is>
          <t>Karton 25 Beutel</t>
        </is>
      </c>
      <c r="E103" s="12" t="inlineStr">
        <is>
          <t>Packung</t>
        </is>
      </c>
      <c r="F103" s="14" t="inlineStr">
        <is>
          <t>25 Beutel/Packung</t>
        </is>
      </c>
      <c r="G103" s="14" t="inlineStr">
        <is>
          <t>Kaffeelieferant</t>
        </is>
      </c>
      <c r="H103" s="14" t="inlineStr">
        <is>
          <t>Trockenlager</t>
        </is>
      </c>
      <c r="I103" s="14" t="inlineStr"/>
      <c r="K103">
        <f>IF($B103="",0,IF(Suche!$B$4="",1,IF(ISNUMBER(SEARCH(Suche!$B$4,$B103&amp;" "&amp;$C103&amp;" "&amp;$G103)),1,0)))</f>
        <v/>
      </c>
      <c r="L103">
        <f>IF($K103=0,"",SUM($K$5:$K103))</f>
        <v/>
      </c>
    </row>
    <row r="104">
      <c r="A104" s="15" t="inlineStr">
        <is>
          <t>72-011</t>
        </is>
      </c>
      <c r="B104" s="16" t="inlineStr">
        <is>
          <t>Fruchtjoghurt Becher 150 g</t>
        </is>
      </c>
      <c r="C104" s="17" t="inlineStr">
        <is>
          <t>Küche – Kühlhaus</t>
        </is>
      </c>
      <c r="D104" s="17" t="inlineStr">
        <is>
          <t>Karton 20 × 150 g</t>
        </is>
      </c>
      <c r="E104" s="15" t="inlineStr">
        <is>
          <t>Stück</t>
        </is>
      </c>
      <c r="F104" s="17" t="inlineStr">
        <is>
          <t>20 Becher/Karton</t>
        </is>
      </c>
      <c r="G104" s="17" t="inlineStr">
        <is>
          <t>Lebensmittelgroßhandel</t>
        </is>
      </c>
      <c r="H104" s="17" t="inlineStr">
        <is>
          <t>Kühlhaus</t>
        </is>
      </c>
      <c r="I104" s="17" t="inlineStr"/>
      <c r="K104">
        <f>IF($B104="",0,IF(Suche!$B$4="",1,IF(ISNUMBER(SEARCH(Suche!$B$4,$B104&amp;" "&amp;$C104&amp;" "&amp;$G104)),1,0)))</f>
        <v/>
      </c>
      <c r="L104">
        <f>IF($K104=0,"",SUM($K$5:$K104))</f>
        <v/>
      </c>
    </row>
    <row r="105">
      <c r="A105" s="12" t="inlineStr">
        <is>
          <t>20-009</t>
        </is>
      </c>
      <c r="B105" s="13" t="inlineStr">
        <is>
          <t>Fürstenberg Premium Pilsener 0,33 l Glas</t>
        </is>
      </c>
      <c r="C105" s="14" t="inlineStr">
        <is>
          <t>Bier</t>
        </is>
      </c>
      <c r="D105" s="14" t="inlineStr">
        <is>
          <t>Kasten 24 × 0,33 l</t>
        </is>
      </c>
      <c r="E105" s="12" t="inlineStr">
        <is>
          <t>Flasche</t>
        </is>
      </c>
      <c r="F105" s="14" t="inlineStr">
        <is>
          <t>24 Flaschen/Kasten</t>
        </is>
      </c>
      <c r="G105" s="14" t="inlineStr">
        <is>
          <t>Getränkefachgroßhandel</t>
        </is>
      </c>
      <c r="H105" s="14" t="inlineStr">
        <is>
          <t>Getränkelager</t>
        </is>
      </c>
      <c r="I105" s="14" t="inlineStr"/>
      <c r="K105">
        <f>IF($B105="",0,IF(Suche!$B$4="",1,IF(ISNUMBER(SEARCH(Suche!$B$4,$B105&amp;" "&amp;$C105&amp;" "&amp;$G105)),1,0)))</f>
        <v/>
      </c>
      <c r="L105">
        <f>IF($K105=0,"",SUM($K$5:$K105))</f>
        <v/>
      </c>
    </row>
    <row r="106">
      <c r="A106" s="15" t="inlineStr">
        <is>
          <t>73-009</t>
        </is>
      </c>
      <c r="B106" s="16" t="inlineStr">
        <is>
          <t>Garnelen TK</t>
        </is>
      </c>
      <c r="C106" s="17" t="inlineStr">
        <is>
          <t>Küche – Tiefkühl</t>
        </is>
      </c>
      <c r="D106" s="17" t="inlineStr">
        <is>
          <t>Karton 2 kg</t>
        </is>
      </c>
      <c r="E106" s="15" t="inlineStr">
        <is>
          <t>kg</t>
        </is>
      </c>
      <c r="F106" s="17" t="inlineStr">
        <is>
          <t>2 kg/Karton</t>
        </is>
      </c>
      <c r="G106" s="17" t="inlineStr">
        <is>
          <t>Lebensmittelgroßhandel</t>
        </is>
      </c>
      <c r="H106" s="17" t="inlineStr">
        <is>
          <t>Tiefkühllager</t>
        </is>
      </c>
      <c r="I106" s="17" t="inlineStr"/>
      <c r="K106">
        <f>IF($B106="",0,IF(Suche!$B$4="",1,IF(ISNUMBER(SEARCH(Suche!$B$4,$B106&amp;" "&amp;$C106&amp;" "&amp;$G106)),1,0)))</f>
        <v/>
      </c>
      <c r="L106">
        <f>IF($K106=0,"",SUM($K$5:$K106))</f>
        <v/>
      </c>
    </row>
    <row r="107">
      <c r="A107" s="12" t="inlineStr">
        <is>
          <t>30-014</t>
        </is>
      </c>
      <c r="B107" s="13" t="inlineStr">
        <is>
          <t>Gelber Muskateller QbA trocken 0,75 l</t>
        </is>
      </c>
      <c r="C107" s="14" t="inlineStr">
        <is>
          <t>Wein – Weiß</t>
        </is>
      </c>
      <c r="D107" s="14" t="inlineStr">
        <is>
          <t>Karton 6 × 0,75 l</t>
        </is>
      </c>
      <c r="E107" s="12" t="inlineStr">
        <is>
          <t>Flasche</t>
        </is>
      </c>
      <c r="F107" s="14" t="inlineStr">
        <is>
          <t>6 Flaschen/Karton</t>
        </is>
      </c>
      <c r="G107" s="14" t="inlineStr">
        <is>
          <t>Weinhandel</t>
        </is>
      </c>
      <c r="H107" s="14" t="inlineStr">
        <is>
          <t>Weinkeller</t>
        </is>
      </c>
      <c r="I107" s="14" t="inlineStr"/>
      <c r="K107">
        <f>IF($B107="",0,IF(Suche!$B$4="",1,IF(ISNUMBER(SEARCH(Suche!$B$4,$B107&amp;" "&amp;$C107&amp;" "&amp;$G107)),1,0)))</f>
        <v/>
      </c>
      <c r="L107">
        <f>IF($K107=0,"",SUM($K$5:$K107))</f>
        <v/>
      </c>
    </row>
    <row r="108">
      <c r="A108" s="15" t="inlineStr">
        <is>
          <t>71-004</t>
        </is>
      </c>
      <c r="B108" s="16" t="inlineStr">
        <is>
          <t>Gemüsebrühe Pulver 1 kg</t>
        </is>
      </c>
      <c r="C108" s="17" t="inlineStr">
        <is>
          <t>Küche – Konserven &amp; Saucen</t>
        </is>
      </c>
      <c r="D108" s="17" t="inlineStr">
        <is>
          <t>Dose 1 kg</t>
        </is>
      </c>
      <c r="E108" s="15" t="inlineStr">
        <is>
          <t>Dose</t>
        </is>
      </c>
      <c r="F108" s="17" t="inlineStr">
        <is>
          <t>1 kg/Dose</t>
        </is>
      </c>
      <c r="G108" s="17" t="inlineStr">
        <is>
          <t>Lebensmittelgroßhandel</t>
        </is>
      </c>
      <c r="H108" s="17" t="inlineStr">
        <is>
          <t>Trockenlager</t>
        </is>
      </c>
      <c r="I108" s="17" t="inlineStr"/>
      <c r="K108">
        <f>IF($B108="",0,IF(Suche!$B$4="",1,IF(ISNUMBER(SEARCH(Suche!$B$4,$B108&amp;" "&amp;$C108&amp;" "&amp;$G108)),1,0)))</f>
        <v/>
      </c>
      <c r="L108">
        <f>IF($K108=0,"",SUM($K$5:$K108))</f>
        <v/>
      </c>
    </row>
    <row r="109">
      <c r="A109" s="12" t="inlineStr">
        <is>
          <t>10-009</t>
        </is>
      </c>
      <c r="B109" s="13" t="inlineStr">
        <is>
          <t>Gerolsteiner Medium 0,75 l Glas</t>
        </is>
      </c>
      <c r="C109" s="14" t="inlineStr">
        <is>
          <t>AFG – Mineralwasser</t>
        </is>
      </c>
      <c r="D109" s="14" t="inlineStr">
        <is>
          <t>Kasten 12 × 0,75 l</t>
        </is>
      </c>
      <c r="E109" s="12" t="inlineStr">
        <is>
          <t>Flasche</t>
        </is>
      </c>
      <c r="F109" s="14" t="inlineStr">
        <is>
          <t>12 Flaschen/Kasten</t>
        </is>
      </c>
      <c r="G109" s="14" t="inlineStr">
        <is>
          <t>Getränkefachgroßhandel</t>
        </is>
      </c>
      <c r="H109" s="14" t="inlineStr">
        <is>
          <t>Getränkelager</t>
        </is>
      </c>
      <c r="I109" s="14" t="inlineStr"/>
      <c r="K109">
        <f>IF($B109="",0,IF(Suche!$B$4="",1,IF(ISNUMBER(SEARCH(Suche!$B$4,$B109&amp;" "&amp;$C109&amp;" "&amp;$G109)),1,0)))</f>
        <v/>
      </c>
      <c r="L109">
        <f>IF($K109=0,"",SUM($K$5:$K109))</f>
        <v/>
      </c>
    </row>
    <row r="110">
      <c r="A110" s="15" t="inlineStr">
        <is>
          <t>10-010</t>
        </is>
      </c>
      <c r="B110" s="16" t="inlineStr">
        <is>
          <t>Gerolsteiner Naturell 0,75 l Glas</t>
        </is>
      </c>
      <c r="C110" s="17" t="inlineStr">
        <is>
          <t>AFG – Mineralwasser</t>
        </is>
      </c>
      <c r="D110" s="17" t="inlineStr">
        <is>
          <t>Kasten 12 × 0,75 l</t>
        </is>
      </c>
      <c r="E110" s="15" t="inlineStr">
        <is>
          <t>Flasche</t>
        </is>
      </c>
      <c r="F110" s="17" t="inlineStr">
        <is>
          <t>12 Flaschen/Kasten</t>
        </is>
      </c>
      <c r="G110" s="17" t="inlineStr">
        <is>
          <t>Getränkefachgroßhandel</t>
        </is>
      </c>
      <c r="H110" s="17" t="inlineStr">
        <is>
          <t>Getränkelager</t>
        </is>
      </c>
      <c r="I110" s="17" t="inlineStr"/>
      <c r="K110">
        <f>IF($B110="",0,IF(Suche!$B$4="",1,IF(ISNUMBER(SEARCH(Suche!$B$4,$B110&amp;" "&amp;$C110&amp;" "&amp;$G110)),1,0)))</f>
        <v/>
      </c>
      <c r="L110">
        <f>IF($K110=0,"",SUM($K$5:$K110))</f>
        <v/>
      </c>
    </row>
    <row r="111">
      <c r="A111" s="12" t="inlineStr">
        <is>
          <t>10-007</t>
        </is>
      </c>
      <c r="B111" s="13" t="inlineStr">
        <is>
          <t>Gerolsteiner Sprudel 0,25 l Glas</t>
        </is>
      </c>
      <c r="C111" s="14" t="inlineStr">
        <is>
          <t>AFG – Mineralwasser</t>
        </is>
      </c>
      <c r="D111" s="14" t="inlineStr">
        <is>
          <t>Kasten 24 × 0,25 l</t>
        </is>
      </c>
      <c r="E111" s="12" t="inlineStr">
        <is>
          <t>Flasche</t>
        </is>
      </c>
      <c r="F111" s="14" t="inlineStr">
        <is>
          <t>24 Flaschen/Kasten</t>
        </is>
      </c>
      <c r="G111" s="14" t="inlineStr">
        <is>
          <t>Getränkefachgroßhandel</t>
        </is>
      </c>
      <c r="H111" s="14" t="inlineStr">
        <is>
          <t>Getränkelager</t>
        </is>
      </c>
      <c r="I111" s="14" t="inlineStr"/>
      <c r="K111">
        <f>IF($B111="",0,IF(Suche!$B$4="",1,IF(ISNUMBER(SEARCH(Suche!$B$4,$B111&amp;" "&amp;$C111&amp;" "&amp;$G111)),1,0)))</f>
        <v/>
      </c>
      <c r="L111">
        <f>IF($K111=0,"",SUM($K$5:$K111))</f>
        <v/>
      </c>
    </row>
    <row r="112">
      <c r="A112" s="15" t="inlineStr">
        <is>
          <t>10-008</t>
        </is>
      </c>
      <c r="B112" s="16" t="inlineStr">
        <is>
          <t>Gerolsteiner Sprudel 0,75 l Glas</t>
        </is>
      </c>
      <c r="C112" s="17" t="inlineStr">
        <is>
          <t>AFG – Mineralwasser</t>
        </is>
      </c>
      <c r="D112" s="17" t="inlineStr">
        <is>
          <t>Kasten 12 × 0,75 l</t>
        </is>
      </c>
      <c r="E112" s="15" t="inlineStr">
        <is>
          <t>Flasche</t>
        </is>
      </c>
      <c r="F112" s="17" t="inlineStr">
        <is>
          <t>12 Flaschen/Kasten</t>
        </is>
      </c>
      <c r="G112" s="17" t="inlineStr">
        <is>
          <t>Getränkefachgroßhandel</t>
        </is>
      </c>
      <c r="H112" s="17" t="inlineStr">
        <is>
          <t>Getränkelager</t>
        </is>
      </c>
      <c r="I112" s="17" t="inlineStr"/>
      <c r="K112">
        <f>IF($B112="",0,IF(Suche!$B$4="",1,IF(ISNUMBER(SEARCH(Suche!$B$4,$B112&amp;" "&amp;$C112&amp;" "&amp;$G112)),1,0)))</f>
        <v/>
      </c>
      <c r="L112">
        <f>IF($K112=0,"",SUM($K$5:$K112))</f>
        <v/>
      </c>
    </row>
    <row r="113">
      <c r="A113" s="12" t="inlineStr">
        <is>
          <t>30-013</t>
        </is>
      </c>
      <c r="B113" s="13" t="inlineStr">
        <is>
          <t>Gewürztraminer Spätlese 0,75 l</t>
        </is>
      </c>
      <c r="C113" s="14" t="inlineStr">
        <is>
          <t>Wein – Weiß</t>
        </is>
      </c>
      <c r="D113" s="14" t="inlineStr">
        <is>
          <t>Karton 6 × 0,75 l</t>
        </is>
      </c>
      <c r="E113" s="12" t="inlineStr">
        <is>
          <t>Flasche</t>
        </is>
      </c>
      <c r="F113" s="14" t="inlineStr">
        <is>
          <t>6 Flaschen/Karton</t>
        </is>
      </c>
      <c r="G113" s="14" t="inlineStr">
        <is>
          <t>Weinhandel</t>
        </is>
      </c>
      <c r="H113" s="14" t="inlineStr">
        <is>
          <t>Weinkeller</t>
        </is>
      </c>
      <c r="I113" s="14" t="inlineStr"/>
      <c r="K113">
        <f>IF($B113="",0,IF(Suche!$B$4="",1,IF(ISNUMBER(SEARCH(Suche!$B$4,$B113&amp;" "&amp;$C113&amp;" "&amp;$G113)),1,0)))</f>
        <v/>
      </c>
      <c r="L113">
        <f>IF($K113=0,"",SUM($K$5:$K113))</f>
        <v/>
      </c>
    </row>
    <row r="114">
      <c r="A114" s="15" t="inlineStr">
        <is>
          <t>81-002</t>
        </is>
      </c>
      <c r="B114" s="16" t="inlineStr">
        <is>
          <t>Glasreiniger 1 l</t>
        </is>
      </c>
      <c r="C114" s="17" t="inlineStr">
        <is>
          <t>Housekeeping – Reinigung</t>
        </is>
      </c>
      <c r="D114" s="17" t="inlineStr">
        <is>
          <t>Flasche 1 l</t>
        </is>
      </c>
      <c r="E114" s="15" t="inlineStr">
        <is>
          <t>Flasche</t>
        </is>
      </c>
      <c r="F114" s="17" t="inlineStr">
        <is>
          <t>1 l/Flasche</t>
        </is>
      </c>
      <c r="G114" s="17" t="inlineStr">
        <is>
          <t>Hygiene- &amp; Reinigungsbedarf</t>
        </is>
      </c>
      <c r="H114" s="17" t="inlineStr">
        <is>
          <t>Housekeeping</t>
        </is>
      </c>
      <c r="I114" s="17" t="inlineStr"/>
      <c r="K114">
        <f>IF($B114="",0,IF(Suche!$B$4="",1,IF(ISNUMBER(SEARCH(Suche!$B$4,$B114&amp;" "&amp;$C114&amp;" "&amp;$G114)),1,0)))</f>
        <v/>
      </c>
      <c r="L114">
        <f>IF($K114=0,"",SUM($K$5:$K114))</f>
        <v/>
      </c>
    </row>
    <row r="115">
      <c r="A115" s="12" t="inlineStr">
        <is>
          <t>44-006</t>
        </is>
      </c>
      <c r="B115" s="13" t="inlineStr">
        <is>
          <t>Glenfiddich 12 Jahre 0,7 l</t>
        </is>
      </c>
      <c r="C115" s="14" t="inlineStr">
        <is>
          <t>Spirituosen – Whisky &amp; Cognac</t>
        </is>
      </c>
      <c r="D115" s="14" t="inlineStr">
        <is>
          <t>Flasche 0,7 l</t>
        </is>
      </c>
      <c r="E115" s="12" t="inlineStr">
        <is>
          <t>Flasche</t>
        </is>
      </c>
      <c r="F115" s="14" t="inlineStr">
        <is>
          <t>1 Flasche</t>
        </is>
      </c>
      <c r="G115" s="14" t="inlineStr">
        <is>
          <t>Spirituosenhandel</t>
        </is>
      </c>
      <c r="H115" s="14" t="inlineStr">
        <is>
          <t>Keller</t>
        </is>
      </c>
      <c r="I115" s="14" t="inlineStr"/>
      <c r="K115">
        <f>IF($B115="",0,IF(Suche!$B$4="",1,IF(ISNUMBER(SEARCH(Suche!$B$4,$B115&amp;" "&amp;$C115&amp;" "&amp;$G115)),1,0)))</f>
        <v/>
      </c>
      <c r="L115">
        <f>IF($K115=0,"",SUM($K$5:$K115))</f>
        <v/>
      </c>
    </row>
    <row r="116">
      <c r="A116" s="15" t="inlineStr">
        <is>
          <t>42-003</t>
        </is>
      </c>
      <c r="B116" s="16" t="inlineStr">
        <is>
          <t>Gordon's London Dry Gin 0,7 l</t>
        </is>
      </c>
      <c r="C116" s="17" t="inlineStr">
        <is>
          <t>Spirituosen – Gin &amp; Wodka</t>
        </is>
      </c>
      <c r="D116" s="17" t="inlineStr">
        <is>
          <t>Flasche 0,7 l</t>
        </is>
      </c>
      <c r="E116" s="15" t="inlineStr">
        <is>
          <t>Flasche</t>
        </is>
      </c>
      <c r="F116" s="17" t="inlineStr">
        <is>
          <t>1 Flasche</t>
        </is>
      </c>
      <c r="G116" s="17" t="inlineStr">
        <is>
          <t>Spirituosenhandel</t>
        </is>
      </c>
      <c r="H116" s="17" t="inlineStr">
        <is>
          <t>Keller</t>
        </is>
      </c>
      <c r="I116" s="17" t="inlineStr"/>
      <c r="K116">
        <f>IF($B116="",0,IF(Suche!$B$4="",1,IF(ISNUMBER(SEARCH(Suche!$B$4,$B116&amp;" "&amp;$C116&amp;" "&amp;$G116)),1,0)))</f>
        <v/>
      </c>
      <c r="L116">
        <f>IF($K116=0,"",SUM($K$5:$K116))</f>
        <v/>
      </c>
    </row>
    <row r="117">
      <c r="A117" s="12" t="inlineStr">
        <is>
          <t>72-014</t>
        </is>
      </c>
      <c r="B117" s="13" t="inlineStr">
        <is>
          <t>Gouda jung am Stück</t>
        </is>
      </c>
      <c r="C117" s="14" t="inlineStr">
        <is>
          <t>Küche – Kühlhaus</t>
        </is>
      </c>
      <c r="D117" s="14" t="inlineStr">
        <is>
          <t>Stück ca. 3 kg</t>
        </is>
      </c>
      <c r="E117" s="12" t="inlineStr">
        <is>
          <t>kg</t>
        </is>
      </c>
      <c r="F117" s="14" t="inlineStr">
        <is>
          <t>ca. 3 kg/Stück</t>
        </is>
      </c>
      <c r="G117" s="14" t="inlineStr">
        <is>
          <t>Lebensmittelgroßhandel</t>
        </is>
      </c>
      <c r="H117" s="14" t="inlineStr">
        <is>
          <t>Kühlhaus</t>
        </is>
      </c>
      <c r="I117" s="14" t="inlineStr"/>
      <c r="K117">
        <f>IF($B117="",0,IF(Suche!$B$4="",1,IF(ISNUMBER(SEARCH(Suche!$B$4,$B117&amp;" "&amp;$C117&amp;" "&amp;$G117)),1,0)))</f>
        <v/>
      </c>
      <c r="L117">
        <f>IF($K117=0,"",SUM($K$5:$K117))</f>
        <v/>
      </c>
    </row>
    <row r="118">
      <c r="A118" s="15" t="inlineStr">
        <is>
          <t>45-004</t>
        </is>
      </c>
      <c r="B118" s="16" t="inlineStr">
        <is>
          <t>Grand Marnier Cordon Rouge 0,7 l</t>
        </is>
      </c>
      <c r="C118" s="17" t="inlineStr">
        <is>
          <t>Spirituosen – Liköre</t>
        </is>
      </c>
      <c r="D118" s="17" t="inlineStr">
        <is>
          <t>Flasche 0,7 l</t>
        </is>
      </c>
      <c r="E118" s="15" t="inlineStr">
        <is>
          <t>Flasche</t>
        </is>
      </c>
      <c r="F118" s="17" t="inlineStr">
        <is>
          <t>1 Flasche</t>
        </is>
      </c>
      <c r="G118" s="17" t="inlineStr">
        <is>
          <t>Spirituosenhandel</t>
        </is>
      </c>
      <c r="H118" s="17" t="inlineStr">
        <is>
          <t>Keller</t>
        </is>
      </c>
      <c r="I118" s="17" t="inlineStr"/>
      <c r="K118">
        <f>IF($B118="",0,IF(Suche!$B$4="",1,IF(ISNUMBER(SEARCH(Suche!$B$4,$B118&amp;" "&amp;$C118&amp;" "&amp;$G118)),1,0)))</f>
        <v/>
      </c>
      <c r="L118">
        <f>IF($K118=0,"",SUM($K$5:$K118))</f>
        <v/>
      </c>
    </row>
    <row r="119">
      <c r="A119" s="12" t="inlineStr">
        <is>
          <t>12-013</t>
        </is>
      </c>
      <c r="B119" s="13" t="inlineStr">
        <is>
          <t>Grapefruitsaft 1,0 l Glas</t>
        </is>
      </c>
      <c r="C119" s="14" t="inlineStr">
        <is>
          <t>AFG – Säfte &amp; Nektare</t>
        </is>
      </c>
      <c r="D119" s="14" t="inlineStr">
        <is>
          <t>Kasten 6 × 1,0 l</t>
        </is>
      </c>
      <c r="E119" s="12" t="inlineStr">
        <is>
          <t>Flasche</t>
        </is>
      </c>
      <c r="F119" s="14" t="inlineStr">
        <is>
          <t>6 Flaschen/Kasten</t>
        </is>
      </c>
      <c r="G119" s="14" t="inlineStr">
        <is>
          <t>Getränkefachgroßhandel</t>
        </is>
      </c>
      <c r="H119" s="14" t="inlineStr">
        <is>
          <t>Getränkelager</t>
        </is>
      </c>
      <c r="I119" s="14" t="inlineStr"/>
      <c r="K119">
        <f>IF($B119="",0,IF(Suche!$B$4="",1,IF(ISNUMBER(SEARCH(Suche!$B$4,$B119&amp;" "&amp;$C119&amp;" "&amp;$G119)),1,0)))</f>
        <v/>
      </c>
      <c r="L119">
        <f>IF($K119=0,"",SUM($K$5:$K119))</f>
        <v/>
      </c>
    </row>
    <row r="120">
      <c r="A120" s="15" t="inlineStr">
        <is>
          <t>41-013</t>
        </is>
      </c>
      <c r="B120" s="16" t="inlineStr">
        <is>
          <t>Grappa 0,7 l</t>
        </is>
      </c>
      <c r="C120" s="17" t="inlineStr">
        <is>
          <t>Spirituosen – Bitter &amp; Aperitif</t>
        </is>
      </c>
      <c r="D120" s="17" t="inlineStr">
        <is>
          <t>Flasche 0,7 l</t>
        </is>
      </c>
      <c r="E120" s="15" t="inlineStr">
        <is>
          <t>Flasche</t>
        </is>
      </c>
      <c r="F120" s="17" t="inlineStr">
        <is>
          <t>1 Flasche</t>
        </is>
      </c>
      <c r="G120" s="17" t="inlineStr">
        <is>
          <t>Spirituosenhandel</t>
        </is>
      </c>
      <c r="H120" s="17" t="inlineStr">
        <is>
          <t>Keller</t>
        </is>
      </c>
      <c r="I120" s="17" t="inlineStr"/>
      <c r="K120">
        <f>IF($B120="",0,IF(Suche!$B$4="",1,IF(ISNUMBER(SEARCH(Suche!$B$4,$B120&amp;" "&amp;$C120&amp;" "&amp;$G120)),1,0)))</f>
        <v/>
      </c>
      <c r="L120">
        <f>IF($K120=0,"",SUM($K$5:$K120))</f>
        <v/>
      </c>
    </row>
    <row r="121">
      <c r="A121" s="12" t="inlineStr">
        <is>
          <t>30-005</t>
        </is>
      </c>
      <c r="B121" s="13" t="inlineStr">
        <is>
          <t>Grauburgunder QbA trocken 0,75 l</t>
        </is>
      </c>
      <c r="C121" s="14" t="inlineStr">
        <is>
          <t>Wein – Weiß</t>
        </is>
      </c>
      <c r="D121" s="14" t="inlineStr">
        <is>
          <t>Karton 6 × 0,75 l</t>
        </is>
      </c>
      <c r="E121" s="12" t="inlineStr">
        <is>
          <t>Flasche</t>
        </is>
      </c>
      <c r="F121" s="14" t="inlineStr">
        <is>
          <t>6 Flaschen/Karton</t>
        </is>
      </c>
      <c r="G121" s="14" t="inlineStr">
        <is>
          <t>Weinhandel</t>
        </is>
      </c>
      <c r="H121" s="14" t="inlineStr">
        <is>
          <t>Weinkeller</t>
        </is>
      </c>
      <c r="I121" s="14" t="inlineStr"/>
      <c r="K121">
        <f>IF($B121="",0,IF(Suche!$B$4="",1,IF(ISNUMBER(SEARCH(Suche!$B$4,$B121&amp;" "&amp;$C121&amp;" "&amp;$G121)),1,0)))</f>
        <v/>
      </c>
      <c r="L121">
        <f>IF($K121=0,"",SUM($K$5:$K121))</f>
        <v/>
      </c>
    </row>
    <row r="122">
      <c r="A122" s="15" t="inlineStr">
        <is>
          <t>30-006</t>
        </is>
      </c>
      <c r="B122" s="16" t="inlineStr">
        <is>
          <t>Grauburgunder Spätlese trocken 0,75 l</t>
        </is>
      </c>
      <c r="C122" s="17" t="inlineStr">
        <is>
          <t>Wein – Weiß</t>
        </is>
      </c>
      <c r="D122" s="17" t="inlineStr">
        <is>
          <t>Karton 6 × 0,75 l</t>
        </is>
      </c>
      <c r="E122" s="15" t="inlineStr">
        <is>
          <t>Flasche</t>
        </is>
      </c>
      <c r="F122" s="17" t="inlineStr">
        <is>
          <t>6 Flaschen/Karton</t>
        </is>
      </c>
      <c r="G122" s="17" t="inlineStr">
        <is>
          <t>Weinhandel</t>
        </is>
      </c>
      <c r="H122" s="17" t="inlineStr">
        <is>
          <t>Weinkeller</t>
        </is>
      </c>
      <c r="I122" s="17" t="inlineStr"/>
      <c r="K122">
        <f>IF($B122="",0,IF(Suche!$B$4="",1,IF(ISNUMBER(SEARCH(Suche!$B$4,$B122&amp;" "&amp;$C122&amp;" "&amp;$G122)),1,0)))</f>
        <v/>
      </c>
      <c r="L122">
        <f>IF($K122=0,"",SUM($K$5:$K122))</f>
        <v/>
      </c>
    </row>
    <row r="123">
      <c r="A123" s="12" t="inlineStr">
        <is>
          <t>60-009</t>
        </is>
      </c>
      <c r="B123" s="13" t="inlineStr">
        <is>
          <t>Grenadinesirup 0,7 l</t>
        </is>
      </c>
      <c r="C123" s="14" t="inlineStr">
        <is>
          <t>Bar – Zubehör &amp; Frischware</t>
        </is>
      </c>
      <c r="D123" s="14" t="inlineStr">
        <is>
          <t>Flasche 0,7 l</t>
        </is>
      </c>
      <c r="E123" s="12" t="inlineStr">
        <is>
          <t>Flasche</t>
        </is>
      </c>
      <c r="F123" s="14" t="inlineStr">
        <is>
          <t>1 Flasche</t>
        </is>
      </c>
      <c r="G123" s="14" t="inlineStr">
        <is>
          <t>Lebensmittelgroßhandel</t>
        </is>
      </c>
      <c r="H123" s="14" t="inlineStr">
        <is>
          <t>Bar</t>
        </is>
      </c>
      <c r="I123" s="14" t="inlineStr"/>
      <c r="K123">
        <f>IF($B123="",0,IF(Suche!$B$4="",1,IF(ISNUMBER(SEARCH(Suche!$B$4,$B123&amp;" "&amp;$C123&amp;" "&amp;$G123)),1,0)))</f>
        <v/>
      </c>
      <c r="L123">
        <f>IF($K123=0,"",SUM($K$5:$K123))</f>
        <v/>
      </c>
    </row>
    <row r="124">
      <c r="A124" s="15" t="inlineStr">
        <is>
          <t>42-009</t>
        </is>
      </c>
      <c r="B124" s="16" t="inlineStr">
        <is>
          <t>Grey Goose Vodka 0,7 l</t>
        </is>
      </c>
      <c r="C124" s="17" t="inlineStr">
        <is>
          <t>Spirituosen – Gin &amp; Wodka</t>
        </is>
      </c>
      <c r="D124" s="17" t="inlineStr">
        <is>
          <t>Flasche 0,7 l</t>
        </is>
      </c>
      <c r="E124" s="15" t="inlineStr">
        <is>
          <t>Flasche</t>
        </is>
      </c>
      <c r="F124" s="17" t="inlineStr">
        <is>
          <t>1 Flasche</t>
        </is>
      </c>
      <c r="G124" s="17" t="inlineStr">
        <is>
          <t>Spirituosenhandel</t>
        </is>
      </c>
      <c r="H124" s="17" t="inlineStr">
        <is>
          <t>Keller</t>
        </is>
      </c>
      <c r="I124" s="17" t="inlineStr"/>
      <c r="K124">
        <f>IF($B124="",0,IF(Suche!$B$4="",1,IF(ISNUMBER(SEARCH(Suche!$B$4,$B124&amp;" "&amp;$C124&amp;" "&amp;$G124)),1,0)))</f>
        <v/>
      </c>
      <c r="L124">
        <f>IF($K124=0,"",SUM($K$5:$K124))</f>
        <v/>
      </c>
    </row>
    <row r="125">
      <c r="A125" s="12" t="inlineStr">
        <is>
          <t>51-004</t>
        </is>
      </c>
      <c r="B125" s="13" t="inlineStr">
        <is>
          <t>Grüner Tee Sencha Teebeutel</t>
        </is>
      </c>
      <c r="C125" s="14" t="inlineStr">
        <is>
          <t>Heißgetränke – Tee &amp; Kakao</t>
        </is>
      </c>
      <c r="D125" s="14" t="inlineStr">
        <is>
          <t>Karton 25 Beutel</t>
        </is>
      </c>
      <c r="E125" s="12" t="inlineStr">
        <is>
          <t>Packung</t>
        </is>
      </c>
      <c r="F125" s="14" t="inlineStr">
        <is>
          <t>25 Beutel/Packung</t>
        </is>
      </c>
      <c r="G125" s="14" t="inlineStr">
        <is>
          <t>Kaffeelieferant</t>
        </is>
      </c>
      <c r="H125" s="14" t="inlineStr">
        <is>
          <t>Trockenlager</t>
        </is>
      </c>
      <c r="I125" s="14" t="inlineStr"/>
      <c r="K125">
        <f>IF($B125="",0,IF(Suche!$B$4="",1,IF(ISNUMBER(SEARCH(Suche!$B$4,$B125&amp;" "&amp;$C125&amp;" "&amp;$G125)),1,0)))</f>
        <v/>
      </c>
      <c r="L125">
        <f>IF($K125=0,"",SUM($K$5:$K125))</f>
        <v/>
      </c>
    </row>
    <row r="126">
      <c r="A126" s="15" t="inlineStr">
        <is>
          <t>30-018</t>
        </is>
      </c>
      <c r="B126" s="16" t="inlineStr">
        <is>
          <t>Grüner Veltliner QbA trocken 0,75 l</t>
        </is>
      </c>
      <c r="C126" s="17" t="inlineStr">
        <is>
          <t>Wein – Weiß</t>
        </is>
      </c>
      <c r="D126" s="17" t="inlineStr">
        <is>
          <t>Karton 6 × 0,75 l</t>
        </is>
      </c>
      <c r="E126" s="15" t="inlineStr">
        <is>
          <t>Flasche</t>
        </is>
      </c>
      <c r="F126" s="17" t="inlineStr">
        <is>
          <t>6 Flaschen/Karton</t>
        </is>
      </c>
      <c r="G126" s="17" t="inlineStr">
        <is>
          <t>Weinhandel</t>
        </is>
      </c>
      <c r="H126" s="17" t="inlineStr">
        <is>
          <t>Weinkeller</t>
        </is>
      </c>
      <c r="I126" s="17" t="inlineStr"/>
      <c r="K126">
        <f>IF($B126="",0,IF(Suche!$B$4="",1,IF(ISNUMBER(SEARCH(Suche!$B$4,$B126&amp;" "&amp;$C126&amp;" "&amp;$G126)),1,0)))</f>
        <v/>
      </c>
      <c r="L126">
        <f>IF($K126=0,"",SUM($K$5:$K126))</f>
        <v/>
      </c>
    </row>
    <row r="127">
      <c r="A127" s="12" t="inlineStr">
        <is>
          <t>20-018</t>
        </is>
      </c>
      <c r="B127" s="13" t="inlineStr">
        <is>
          <t>Guinness Draught 0,44 l Dose</t>
        </is>
      </c>
      <c r="C127" s="14" t="inlineStr">
        <is>
          <t>Bier</t>
        </is>
      </c>
      <c r="D127" s="14" t="inlineStr">
        <is>
          <t>Tray 24 × 0,44 l</t>
        </is>
      </c>
      <c r="E127" s="12" t="inlineStr">
        <is>
          <t>Dose</t>
        </is>
      </c>
      <c r="F127" s="14" t="inlineStr">
        <is>
          <t>24 Dosen/Tray</t>
        </is>
      </c>
      <c r="G127" s="14" t="inlineStr">
        <is>
          <t>Getränkefachgroßhandel</t>
        </is>
      </c>
      <c r="H127" s="14" t="inlineStr">
        <is>
          <t>Getränkelager</t>
        </is>
      </c>
      <c r="I127" s="14" t="inlineStr"/>
      <c r="K127">
        <f>IF($B127="",0,IF(Suche!$B$4="",1,IF(ISNUMBER(SEARCH(Suche!$B$4,$B127&amp;" "&amp;$C127&amp;" "&amp;$G127)),1,0)))</f>
        <v/>
      </c>
      <c r="L127">
        <f>IF($K127=0,"",SUM($K$5:$K127))</f>
        <v/>
      </c>
    </row>
    <row r="128">
      <c r="A128" s="15" t="inlineStr">
        <is>
          <t>30-001</t>
        </is>
      </c>
      <c r="B128" s="16" t="inlineStr">
        <is>
          <t>Gutedel QbA trocken 0,75 l</t>
        </is>
      </c>
      <c r="C128" s="17" t="inlineStr">
        <is>
          <t>Wein – Weiß</t>
        </is>
      </c>
      <c r="D128" s="17" t="inlineStr">
        <is>
          <t>Karton 6 × 0,75 l</t>
        </is>
      </c>
      <c r="E128" s="15" t="inlineStr">
        <is>
          <t>Flasche</t>
        </is>
      </c>
      <c r="F128" s="17" t="inlineStr">
        <is>
          <t>6 Flaschen/Karton</t>
        </is>
      </c>
      <c r="G128" s="17" t="inlineStr">
        <is>
          <t>Weinhandel</t>
        </is>
      </c>
      <c r="H128" s="17" t="inlineStr">
        <is>
          <t>Weinkeller</t>
        </is>
      </c>
      <c r="I128" s="17" t="inlineStr"/>
      <c r="K128">
        <f>IF($B128="",0,IF(Suche!$B$4="",1,IF(ISNUMBER(SEARCH(Suche!$B$4,$B128&amp;" "&amp;$C128&amp;" "&amp;$G128)),1,0)))</f>
        <v/>
      </c>
      <c r="L128">
        <f>IF($K128=0,"",SUM($K$5:$K128))</f>
        <v/>
      </c>
    </row>
    <row r="129">
      <c r="A129" s="12" t="inlineStr">
        <is>
          <t>72-004</t>
        </is>
      </c>
      <c r="B129" s="13" t="inlineStr">
        <is>
          <t>H-Milch 3,5 % 1 l</t>
        </is>
      </c>
      <c r="C129" s="14" t="inlineStr">
        <is>
          <t>Küche – Kühlhaus</t>
        </is>
      </c>
      <c r="D129" s="14" t="inlineStr">
        <is>
          <t>Karton 12 × 1 l</t>
        </is>
      </c>
      <c r="E129" s="12" t="inlineStr">
        <is>
          <t>l</t>
        </is>
      </c>
      <c r="F129" s="14" t="inlineStr">
        <is>
          <t>12 l/Karton</t>
        </is>
      </c>
      <c r="G129" s="14" t="inlineStr">
        <is>
          <t>Lebensmittelgroßhandel</t>
        </is>
      </c>
      <c r="H129" s="14" t="inlineStr">
        <is>
          <t>Kühlhaus</t>
        </is>
      </c>
      <c r="I129" s="14" t="inlineStr"/>
      <c r="K129">
        <f>IF($B129="",0,IF(Suche!$B$4="",1,IF(ISNUMBER(SEARCH(Suche!$B$4,$B129&amp;" "&amp;$C129&amp;" "&amp;$G129)),1,0)))</f>
        <v/>
      </c>
      <c r="L129">
        <f>IF($K129=0,"",SUM($K$5:$K129))</f>
        <v/>
      </c>
    </row>
    <row r="130">
      <c r="A130" s="15" t="inlineStr">
        <is>
          <t>70-036</t>
        </is>
      </c>
      <c r="B130" s="16" t="inlineStr">
        <is>
          <t>Haferflocken 1 kg</t>
        </is>
      </c>
      <c r="C130" s="17" t="inlineStr">
        <is>
          <t>Küche – Trockenlager</t>
        </is>
      </c>
      <c r="D130" s="17" t="inlineStr">
        <is>
          <t>Packung 1 kg</t>
        </is>
      </c>
      <c r="E130" s="15" t="inlineStr">
        <is>
          <t>Packung</t>
        </is>
      </c>
      <c r="F130" s="17" t="inlineStr">
        <is>
          <t>1 kg/Packung</t>
        </is>
      </c>
      <c r="G130" s="17" t="inlineStr">
        <is>
          <t>Lebensmittelgroßhandel</t>
        </is>
      </c>
      <c r="H130" s="17" t="inlineStr">
        <is>
          <t>Trockenlager</t>
        </is>
      </c>
      <c r="I130" s="17" t="inlineStr"/>
      <c r="K130">
        <f>IF($B130="",0,IF(Suche!$B$4="",1,IF(ISNUMBER(SEARCH(Suche!$B$4,$B130&amp;" "&amp;$C130&amp;" "&amp;$G130)),1,0)))</f>
        <v/>
      </c>
      <c r="L130">
        <f>IF($K130=0,"",SUM($K$5:$K130))</f>
        <v/>
      </c>
    </row>
    <row r="131">
      <c r="A131" s="12" t="inlineStr">
        <is>
          <t>51-009</t>
        </is>
      </c>
      <c r="B131" s="13" t="inlineStr">
        <is>
          <t>Hagebuttentee Teebeutel</t>
        </is>
      </c>
      <c r="C131" s="14" t="inlineStr">
        <is>
          <t>Heißgetränke – Tee &amp; Kakao</t>
        </is>
      </c>
      <c r="D131" s="14" t="inlineStr">
        <is>
          <t>Karton 25 Beutel</t>
        </is>
      </c>
      <c r="E131" s="12" t="inlineStr">
        <is>
          <t>Packung</t>
        </is>
      </c>
      <c r="F131" s="14" t="inlineStr">
        <is>
          <t>25 Beutel/Packung</t>
        </is>
      </c>
      <c r="G131" s="14" t="inlineStr">
        <is>
          <t>Kaffeelieferant</t>
        </is>
      </c>
      <c r="H131" s="14" t="inlineStr">
        <is>
          <t>Trockenlager</t>
        </is>
      </c>
      <c r="I131" s="14" t="inlineStr"/>
      <c r="K131">
        <f>IF($B131="",0,IF(Suche!$B$4="",1,IF(ISNUMBER(SEARCH(Suche!$B$4,$B131&amp;" "&amp;$C131&amp;" "&amp;$G131)),1,0)))</f>
        <v/>
      </c>
      <c r="L131">
        <f>IF($K131=0,"",SUM($K$5:$K131))</f>
        <v/>
      </c>
    </row>
    <row r="132">
      <c r="A132" s="15" t="inlineStr">
        <is>
          <t>81-007</t>
        </is>
      </c>
      <c r="B132" s="16" t="inlineStr">
        <is>
          <t>Handdesinfektionsmittel 500 ml</t>
        </is>
      </c>
      <c r="C132" s="17" t="inlineStr">
        <is>
          <t>Housekeeping – Reinigung</t>
        </is>
      </c>
      <c r="D132" s="17" t="inlineStr">
        <is>
          <t>Flasche 500 ml</t>
        </is>
      </c>
      <c r="E132" s="15" t="inlineStr">
        <is>
          <t>Flasche</t>
        </is>
      </c>
      <c r="F132" s="17" t="inlineStr">
        <is>
          <t>500 ml/Flasche</t>
        </is>
      </c>
      <c r="G132" s="17" t="inlineStr">
        <is>
          <t>Hygiene- &amp; Reinigungsbedarf</t>
        </is>
      </c>
      <c r="H132" s="17" t="inlineStr">
        <is>
          <t>Housekeeping</t>
        </is>
      </c>
      <c r="I132" s="17" t="inlineStr"/>
      <c r="K132">
        <f>IF($B132="",0,IF(Suche!$B$4="",1,IF(ISNUMBER(SEARCH(Suche!$B$4,$B132&amp;" "&amp;$C132&amp;" "&amp;$G132)),1,0)))</f>
        <v/>
      </c>
      <c r="L132">
        <f>IF($K132=0,"",SUM($K$5:$K132))</f>
        <v/>
      </c>
    </row>
    <row r="133">
      <c r="A133" s="12" t="inlineStr">
        <is>
          <t>80-003</t>
        </is>
      </c>
      <c r="B133" s="13" t="inlineStr">
        <is>
          <t>Handseife Spender 300 ml</t>
        </is>
      </c>
      <c r="C133" s="14" t="inlineStr">
        <is>
          <t>Housekeeping – Gästeartikel</t>
        </is>
      </c>
      <c r="D133" s="14" t="inlineStr">
        <is>
          <t>Karton 20 Stück</t>
        </is>
      </c>
      <c r="E133" s="12" t="inlineStr">
        <is>
          <t>Stück</t>
        </is>
      </c>
      <c r="F133" s="14" t="inlineStr">
        <is>
          <t>20 Stück/Karton</t>
        </is>
      </c>
      <c r="G133" s="14" t="inlineStr">
        <is>
          <t>Hygiene- &amp; Reinigungsbedarf</t>
        </is>
      </c>
      <c r="H133" s="14" t="inlineStr">
        <is>
          <t>Housekeeping</t>
        </is>
      </c>
      <c r="I133" s="14" t="inlineStr"/>
      <c r="K133">
        <f>IF($B133="",0,IF(Suche!$B$4="",1,IF(ISNUMBER(SEARCH(Suche!$B$4,$B133&amp;" "&amp;$C133&amp;" "&amp;$G133)),1,0)))</f>
        <v/>
      </c>
      <c r="L133">
        <f>IF($K133=0,"",SUM($K$5:$K133))</f>
        <v/>
      </c>
    </row>
    <row r="134">
      <c r="A134" s="15" t="inlineStr">
        <is>
          <t>81-012</t>
        </is>
      </c>
      <c r="B134" s="16" t="inlineStr">
        <is>
          <t>Handspülmittel 1 l</t>
        </is>
      </c>
      <c r="C134" s="17" t="inlineStr">
        <is>
          <t>Housekeeping – Reinigung</t>
        </is>
      </c>
      <c r="D134" s="17" t="inlineStr">
        <is>
          <t>Flasche 1 l</t>
        </is>
      </c>
      <c r="E134" s="15" t="inlineStr">
        <is>
          <t>Flasche</t>
        </is>
      </c>
      <c r="F134" s="17" t="inlineStr">
        <is>
          <t>1 l/Flasche</t>
        </is>
      </c>
      <c r="G134" s="17" t="inlineStr">
        <is>
          <t>Hygiene- &amp; Reinigungsbedarf</t>
        </is>
      </c>
      <c r="H134" s="17" t="inlineStr">
        <is>
          <t>Housekeeping</t>
        </is>
      </c>
      <c r="I134" s="17" t="inlineStr"/>
      <c r="K134">
        <f>IF($B134="",0,IF(Suche!$B$4="",1,IF(ISNUMBER(SEARCH(Suche!$B$4,$B134&amp;" "&amp;$C134&amp;" "&amp;$G134)),1,0)))</f>
        <v/>
      </c>
      <c r="L134">
        <f>IF($K134=0,"",SUM($K$5:$K134))</f>
        <v/>
      </c>
    </row>
    <row r="135">
      <c r="A135" s="12" t="inlineStr">
        <is>
          <t>81-020</t>
        </is>
      </c>
      <c r="B135" s="13" t="inlineStr">
        <is>
          <t>Handtuchpapier gefaltet</t>
        </is>
      </c>
      <c r="C135" s="14" t="inlineStr">
        <is>
          <t>Housekeeping – Reinigung</t>
        </is>
      </c>
      <c r="D135" s="14" t="inlineStr">
        <is>
          <t>Karton 3000 Blatt</t>
        </is>
      </c>
      <c r="E135" s="12" t="inlineStr">
        <is>
          <t>Karton</t>
        </is>
      </c>
      <c r="F135" s="14" t="inlineStr">
        <is>
          <t>3000 Blatt/Karton</t>
        </is>
      </c>
      <c r="G135" s="14" t="inlineStr">
        <is>
          <t>Hygiene- &amp; Reinigungsbedarf</t>
        </is>
      </c>
      <c r="H135" s="14" t="inlineStr">
        <is>
          <t>Housekeeping</t>
        </is>
      </c>
      <c r="I135" s="14" t="inlineStr"/>
      <c r="K135">
        <f>IF($B135="",0,IF(Suche!$B$4="",1,IF(ISNUMBER(SEARCH(Suche!$B$4,$B135&amp;" "&amp;$C135&amp;" "&amp;$G135)),1,0)))</f>
        <v/>
      </c>
      <c r="L135">
        <f>IF($K135=0,"",SUM($K$5:$K135))</f>
        <v/>
      </c>
    </row>
    <row r="136">
      <c r="A136" s="15" t="inlineStr">
        <is>
          <t>40-006</t>
        </is>
      </c>
      <c r="B136" s="16" t="inlineStr">
        <is>
          <t>Haselnussgeist 0,7 l</t>
        </is>
      </c>
      <c r="C136" s="17" t="inlineStr">
        <is>
          <t>Spirituosen – Obstbrände</t>
        </is>
      </c>
      <c r="D136" s="17" t="inlineStr">
        <is>
          <t>Flasche 0,7 l</t>
        </is>
      </c>
      <c r="E136" s="15" t="inlineStr">
        <is>
          <t>Flasche</t>
        </is>
      </c>
      <c r="F136" s="17" t="inlineStr">
        <is>
          <t>1 Flasche</t>
        </is>
      </c>
      <c r="G136" s="17" t="inlineStr">
        <is>
          <t>Spirituosenhandel</t>
        </is>
      </c>
      <c r="H136" s="17" t="inlineStr">
        <is>
          <t>Keller</t>
        </is>
      </c>
      <c r="I136" s="17" t="inlineStr"/>
      <c r="K136">
        <f>IF($B136="",0,IF(Suche!$B$4="",1,IF(ISNUMBER(SEARCH(Suche!$B$4,$B136&amp;" "&amp;$C136&amp;" "&amp;$G136)),1,0)))</f>
        <v/>
      </c>
      <c r="L136">
        <f>IF($K136=0,"",SUM($K$5:$K136))</f>
        <v/>
      </c>
    </row>
    <row r="137">
      <c r="A137" s="12" t="inlineStr">
        <is>
          <t>32-014</t>
        </is>
      </c>
      <c r="B137" s="13" t="inlineStr">
        <is>
          <t>Hauswein rot 1,0 l</t>
        </is>
      </c>
      <c r="C137" s="14" t="inlineStr">
        <is>
          <t>Wein – Rot</t>
        </is>
      </c>
      <c r="D137" s="14" t="inlineStr">
        <is>
          <t>Karton 6 × 1,0 l</t>
        </is>
      </c>
      <c r="E137" s="12" t="inlineStr">
        <is>
          <t>Flasche</t>
        </is>
      </c>
      <c r="F137" s="14" t="inlineStr">
        <is>
          <t>6 Flaschen/Karton</t>
        </is>
      </c>
      <c r="G137" s="14" t="inlineStr">
        <is>
          <t>Weinhandel</t>
        </is>
      </c>
      <c r="H137" s="14" t="inlineStr">
        <is>
          <t>Weinkeller</t>
        </is>
      </c>
      <c r="I137" s="14" t="inlineStr"/>
      <c r="K137">
        <f>IF($B137="",0,IF(Suche!$B$4="",1,IF(ISNUMBER(SEARCH(Suche!$B$4,$B137&amp;" "&amp;$C137&amp;" "&amp;$G137)),1,0)))</f>
        <v/>
      </c>
      <c r="L137">
        <f>IF($K137=0,"",SUM($K$5:$K137))</f>
        <v/>
      </c>
    </row>
    <row r="138">
      <c r="A138" s="15" t="inlineStr">
        <is>
          <t>30-019</t>
        </is>
      </c>
      <c r="B138" s="16" t="inlineStr">
        <is>
          <t>Hauswein weiß 1,0 l</t>
        </is>
      </c>
      <c r="C138" s="17" t="inlineStr">
        <is>
          <t>Wein – Weiß</t>
        </is>
      </c>
      <c r="D138" s="17" t="inlineStr">
        <is>
          <t>Karton 6 × 1,0 l</t>
        </is>
      </c>
      <c r="E138" s="15" t="inlineStr">
        <is>
          <t>Flasche</t>
        </is>
      </c>
      <c r="F138" s="17" t="inlineStr">
        <is>
          <t>6 Flaschen/Karton</t>
        </is>
      </c>
      <c r="G138" s="17" t="inlineStr">
        <is>
          <t>Weinhandel</t>
        </is>
      </c>
      <c r="H138" s="17" t="inlineStr">
        <is>
          <t>Weinkeller</t>
        </is>
      </c>
      <c r="I138" s="17" t="inlineStr"/>
      <c r="K138">
        <f>IF($B138="",0,IF(Suche!$B$4="",1,IF(ISNUMBER(SEARCH(Suche!$B$4,$B138&amp;" "&amp;$C138&amp;" "&amp;$G138)),1,0)))</f>
        <v/>
      </c>
      <c r="L138">
        <f>IF($K138=0,"",SUM($K$5:$K138))</f>
        <v/>
      </c>
    </row>
    <row r="139">
      <c r="A139" s="12" t="inlineStr">
        <is>
          <t>43-002</t>
        </is>
      </c>
      <c r="B139" s="13" t="inlineStr">
        <is>
          <t>Havana Club Añejo 3 Años 0,7 l</t>
        </is>
      </c>
      <c r="C139" s="14" t="inlineStr">
        <is>
          <t>Spirituosen – Rum &amp; Tequila</t>
        </is>
      </c>
      <c r="D139" s="14" t="inlineStr">
        <is>
          <t>Flasche 0,7 l</t>
        </is>
      </c>
      <c r="E139" s="12" t="inlineStr">
        <is>
          <t>Flasche</t>
        </is>
      </c>
      <c r="F139" s="14" t="inlineStr">
        <is>
          <t>1 Flasche</t>
        </is>
      </c>
      <c r="G139" s="14" t="inlineStr">
        <is>
          <t>Spirituosenhandel</t>
        </is>
      </c>
      <c r="H139" s="14" t="inlineStr">
        <is>
          <t>Keller</t>
        </is>
      </c>
      <c r="I139" s="14" t="inlineStr"/>
      <c r="K139">
        <f>IF($B139="",0,IF(Suche!$B$4="",1,IF(ISNUMBER(SEARCH(Suche!$B$4,$B139&amp;" "&amp;$C139&amp;" "&amp;$G139)),1,0)))</f>
        <v/>
      </c>
      <c r="L139">
        <f>IF($K139=0,"",SUM($K$5:$K139))</f>
        <v/>
      </c>
    </row>
    <row r="140">
      <c r="A140" s="15" t="inlineStr">
        <is>
          <t>42-004</t>
        </is>
      </c>
      <c r="B140" s="16" t="inlineStr">
        <is>
          <t>Hendrick's Gin 0,7 l</t>
        </is>
      </c>
      <c r="C140" s="17" t="inlineStr">
        <is>
          <t>Spirituosen – Gin &amp; Wodka</t>
        </is>
      </c>
      <c r="D140" s="17" t="inlineStr">
        <is>
          <t>Flasche 0,7 l</t>
        </is>
      </c>
      <c r="E140" s="15" t="inlineStr">
        <is>
          <t>Flasche</t>
        </is>
      </c>
      <c r="F140" s="17" t="inlineStr">
        <is>
          <t>1 Flasche</t>
        </is>
      </c>
      <c r="G140" s="17" t="inlineStr">
        <is>
          <t>Spirituosenhandel</t>
        </is>
      </c>
      <c r="H140" s="17" t="inlineStr">
        <is>
          <t>Keller</t>
        </is>
      </c>
      <c r="I140" s="17" t="inlineStr"/>
      <c r="K140">
        <f>IF($B140="",0,IF(Suche!$B$4="",1,IF(ISNUMBER(SEARCH(Suche!$B$4,$B140&amp;" "&amp;$C140&amp;" "&amp;$G140)),1,0)))</f>
        <v/>
      </c>
      <c r="L140">
        <f>IF($K140=0,"",SUM($K$5:$K140))</f>
        <v/>
      </c>
    </row>
    <row r="141">
      <c r="A141" s="12" t="inlineStr">
        <is>
          <t>33-003</t>
        </is>
      </c>
      <c r="B141" s="13" t="inlineStr">
        <is>
          <t>Henkell Trocken 0,75 l</t>
        </is>
      </c>
      <c r="C141" s="14" t="inlineStr">
        <is>
          <t>Sekt &amp; Champagner</t>
        </is>
      </c>
      <c r="D141" s="14" t="inlineStr">
        <is>
          <t>Karton 6 × 0,75 l</t>
        </is>
      </c>
      <c r="E141" s="12" t="inlineStr">
        <is>
          <t>Flasche</t>
        </is>
      </c>
      <c r="F141" s="14" t="inlineStr">
        <is>
          <t>6 Flaschen/Karton</t>
        </is>
      </c>
      <c r="G141" s="14" t="inlineStr">
        <is>
          <t>Weinhandel</t>
        </is>
      </c>
      <c r="H141" s="14" t="inlineStr">
        <is>
          <t>Weinkeller</t>
        </is>
      </c>
      <c r="I141" s="14" t="inlineStr"/>
      <c r="K141">
        <f>IF($B141="",0,IF(Suche!$B$4="",1,IF(ISNUMBER(SEARCH(Suche!$B$4,$B141&amp;" "&amp;$C141&amp;" "&amp;$G141)),1,0)))</f>
        <v/>
      </c>
      <c r="L141">
        <f>IF($K141=0,"",SUM($K$5:$K141))</f>
        <v/>
      </c>
    </row>
    <row r="142">
      <c r="A142" s="15" t="inlineStr">
        <is>
          <t>44-009</t>
        </is>
      </c>
      <c r="B142" s="16" t="inlineStr">
        <is>
          <t>Hennessy VS 0,7 l</t>
        </is>
      </c>
      <c r="C142" s="17" t="inlineStr">
        <is>
          <t>Spirituosen – Whisky &amp; Cognac</t>
        </is>
      </c>
      <c r="D142" s="17" t="inlineStr">
        <is>
          <t>Flasche 0,7 l</t>
        </is>
      </c>
      <c r="E142" s="15" t="inlineStr">
        <is>
          <t>Flasche</t>
        </is>
      </c>
      <c r="F142" s="17" t="inlineStr">
        <is>
          <t>1 Flasche</t>
        </is>
      </c>
      <c r="G142" s="17" t="inlineStr">
        <is>
          <t>Spirituosenhandel</t>
        </is>
      </c>
      <c r="H142" s="17" t="inlineStr">
        <is>
          <t>Keller</t>
        </is>
      </c>
      <c r="I142" s="17" t="inlineStr"/>
      <c r="K142">
        <f>IF($B142="",0,IF(Suche!$B$4="",1,IF(ISNUMBER(SEARCH(Suche!$B$4,$B142&amp;" "&amp;$C142&amp;" "&amp;$G142)),1,0)))</f>
        <v/>
      </c>
      <c r="L142">
        <f>IF($K142=0,"",SUM($K$5:$K142))</f>
        <v/>
      </c>
    </row>
    <row r="143">
      <c r="A143" s="12" t="inlineStr">
        <is>
          <t>40-005</t>
        </is>
      </c>
      <c r="B143" s="13" t="inlineStr">
        <is>
          <t>Himbeergeist 0,7 l</t>
        </is>
      </c>
      <c r="C143" s="14" t="inlineStr">
        <is>
          <t>Spirituosen – Obstbrände</t>
        </is>
      </c>
      <c r="D143" s="14" t="inlineStr">
        <is>
          <t>Flasche 0,7 l</t>
        </is>
      </c>
      <c r="E143" s="12" t="inlineStr">
        <is>
          <t>Flasche</t>
        </is>
      </c>
      <c r="F143" s="14" t="inlineStr">
        <is>
          <t>1 Flasche</t>
        </is>
      </c>
      <c r="G143" s="14" t="inlineStr">
        <is>
          <t>Spirituosenhandel</t>
        </is>
      </c>
      <c r="H143" s="14" t="inlineStr">
        <is>
          <t>Keller</t>
        </is>
      </c>
      <c r="I143" s="14" t="inlineStr"/>
      <c r="K143">
        <f>IF($B143="",0,IF(Suche!$B$4="",1,IF(ISNUMBER(SEARCH(Suche!$B$4,$B143&amp;" "&amp;$C143&amp;" "&amp;$G143)),1,0)))</f>
        <v/>
      </c>
      <c r="L143">
        <f>IF($K143=0,"",SUM($K$5:$K143))</f>
        <v/>
      </c>
    </row>
    <row r="144">
      <c r="A144" s="15" t="inlineStr">
        <is>
          <t>71-016</t>
        </is>
      </c>
      <c r="B144" s="16" t="inlineStr">
        <is>
          <t>Honig 5 kg</t>
        </is>
      </c>
      <c r="C144" s="17" t="inlineStr">
        <is>
          <t>Küche – Konserven &amp; Saucen</t>
        </is>
      </c>
      <c r="D144" s="17" t="inlineStr">
        <is>
          <t>Eimer 5 kg</t>
        </is>
      </c>
      <c r="E144" s="15" t="inlineStr">
        <is>
          <t>Eimer</t>
        </is>
      </c>
      <c r="F144" s="17" t="inlineStr">
        <is>
          <t>5 kg/Eimer</t>
        </is>
      </c>
      <c r="G144" s="17" t="inlineStr">
        <is>
          <t>Lebensmittelgroßhandel</t>
        </is>
      </c>
      <c r="H144" s="17" t="inlineStr">
        <is>
          <t>Trockenlager</t>
        </is>
      </c>
      <c r="I144" s="17" t="inlineStr"/>
      <c r="K144">
        <f>IF($B144="",0,IF(Suche!$B$4="",1,IF(ISNUMBER(SEARCH(Suche!$B$4,$B144&amp;" "&amp;$C144&amp;" "&amp;$G144)),1,0)))</f>
        <v/>
      </c>
      <c r="L144">
        <f>IF($K144=0,"",SUM($K$5:$K144))</f>
        <v/>
      </c>
    </row>
    <row r="145">
      <c r="A145" s="12" t="inlineStr">
        <is>
          <t>71-018</t>
        </is>
      </c>
      <c r="B145" s="13" t="inlineStr">
        <is>
          <t>Honig Portionen 20 g</t>
        </is>
      </c>
      <c r="C145" s="14" t="inlineStr">
        <is>
          <t>Küche – Konserven &amp; Saucen</t>
        </is>
      </c>
      <c r="D145" s="14" t="inlineStr">
        <is>
          <t>Karton 100 Stück</t>
        </is>
      </c>
      <c r="E145" s="12" t="inlineStr">
        <is>
          <t>Stück</t>
        </is>
      </c>
      <c r="F145" s="14" t="inlineStr">
        <is>
          <t>100 Portionen/Karton</t>
        </is>
      </c>
      <c r="G145" s="14" t="inlineStr">
        <is>
          <t>Lebensmittelgroßhandel</t>
        </is>
      </c>
      <c r="H145" s="14" t="inlineStr">
        <is>
          <t>Trockenlager</t>
        </is>
      </c>
      <c r="I145" s="14" t="inlineStr"/>
      <c r="K145">
        <f>IF($B145="",0,IF(Suche!$B$4="",1,IF(ISNUMBER(SEARCH(Suche!$B$4,$B145&amp;" "&amp;$C145&amp;" "&amp;$G145)),1,0)))</f>
        <v/>
      </c>
      <c r="L145">
        <f>IF($K145=0,"",SUM($K$5:$K145))</f>
        <v/>
      </c>
    </row>
    <row r="146">
      <c r="A146" s="15" t="inlineStr">
        <is>
          <t>71-006</t>
        </is>
      </c>
      <c r="B146" s="16" t="inlineStr">
        <is>
          <t>Hühnerbrühe Pulver 1 kg</t>
        </is>
      </c>
      <c r="C146" s="17" t="inlineStr">
        <is>
          <t>Küche – Konserven &amp; Saucen</t>
        </is>
      </c>
      <c r="D146" s="17" t="inlineStr">
        <is>
          <t>Dose 1 kg</t>
        </is>
      </c>
      <c r="E146" s="15" t="inlineStr">
        <is>
          <t>Dose</t>
        </is>
      </c>
      <c r="F146" s="17" t="inlineStr">
        <is>
          <t>1 kg/Dose</t>
        </is>
      </c>
      <c r="G146" s="17" t="inlineStr">
        <is>
          <t>Lebensmittelgroßhandel</t>
        </is>
      </c>
      <c r="H146" s="17" t="inlineStr">
        <is>
          <t>Trockenlager</t>
        </is>
      </c>
      <c r="I146" s="17" t="inlineStr"/>
      <c r="K146">
        <f>IF($B146="",0,IF(Suche!$B$4="",1,IF(ISNUMBER(SEARCH(Suche!$B$4,$B146&amp;" "&amp;$C146&amp;" "&amp;$G146)),1,0)))</f>
        <v/>
      </c>
      <c r="L146">
        <f>IF($K146=0,"",SUM($K$5:$K146))</f>
        <v/>
      </c>
    </row>
    <row r="147">
      <c r="A147" s="12" t="inlineStr">
        <is>
          <t>80-009</t>
        </is>
      </c>
      <c r="B147" s="13" t="inlineStr">
        <is>
          <t>Hygienebeutel</t>
        </is>
      </c>
      <c r="C147" s="14" t="inlineStr">
        <is>
          <t>Housekeeping – Gästeartikel</t>
        </is>
      </c>
      <c r="D147" s="14" t="inlineStr">
        <is>
          <t>Karton 500 Stück</t>
        </is>
      </c>
      <c r="E147" s="12" t="inlineStr">
        <is>
          <t>Stück</t>
        </is>
      </c>
      <c r="F147" s="14" t="inlineStr">
        <is>
          <t>500 Stück/Karton</t>
        </is>
      </c>
      <c r="G147" s="14" t="inlineStr">
        <is>
          <t>Hygiene- &amp; Reinigungsbedarf</t>
        </is>
      </c>
      <c r="H147" s="14" t="inlineStr">
        <is>
          <t>Housekeeping</t>
        </is>
      </c>
      <c r="I147" s="14" t="inlineStr"/>
      <c r="K147">
        <f>IF($B147="",0,IF(Suche!$B$4="",1,IF(ISNUMBER(SEARCH(Suche!$B$4,$B147&amp;" "&amp;$C147&amp;" "&amp;$G147)),1,0)))</f>
        <v/>
      </c>
      <c r="L147">
        <f>IF($K147=0,"",SUM($K$5:$K147))</f>
        <v/>
      </c>
    </row>
    <row r="148">
      <c r="A148" s="15" t="inlineStr">
        <is>
          <t>44-001</t>
        </is>
      </c>
      <c r="B148" s="16" t="inlineStr">
        <is>
          <t>Jack Daniel's Old No. 7 0,7 l</t>
        </is>
      </c>
      <c r="C148" s="17" t="inlineStr">
        <is>
          <t>Spirituosen – Whisky &amp; Cognac</t>
        </is>
      </c>
      <c r="D148" s="17" t="inlineStr">
        <is>
          <t>Flasche 0,7 l</t>
        </is>
      </c>
      <c r="E148" s="15" t="inlineStr">
        <is>
          <t>Flasche</t>
        </is>
      </c>
      <c r="F148" s="17" t="inlineStr">
        <is>
          <t>1 Flasche</t>
        </is>
      </c>
      <c r="G148" s="17" t="inlineStr">
        <is>
          <t>Spirituosenhandel</t>
        </is>
      </c>
      <c r="H148" s="17" t="inlineStr">
        <is>
          <t>Keller</t>
        </is>
      </c>
      <c r="I148" s="17" t="inlineStr"/>
      <c r="K148">
        <f>IF($B148="",0,IF(Suche!$B$4="",1,IF(ISNUMBER(SEARCH(Suche!$B$4,$B148&amp;" "&amp;$C148&amp;" "&amp;$G148)),1,0)))</f>
        <v/>
      </c>
      <c r="L148">
        <f>IF($K148=0,"",SUM($K$5:$K148))</f>
        <v/>
      </c>
    </row>
    <row r="149">
      <c r="A149" s="12" t="inlineStr">
        <is>
          <t>41-002</t>
        </is>
      </c>
      <c r="B149" s="13" t="inlineStr">
        <is>
          <t>Jägermeister 0,02 l Miniatur</t>
        </is>
      </c>
      <c r="C149" s="14" t="inlineStr">
        <is>
          <t>Spirituosen – Bitter &amp; Aperitif</t>
        </is>
      </c>
      <c r="D149" s="14" t="inlineStr">
        <is>
          <t>Karton 25 × 2 cl</t>
        </is>
      </c>
      <c r="E149" s="12" t="inlineStr">
        <is>
          <t>Flasche</t>
        </is>
      </c>
      <c r="F149" s="14" t="inlineStr">
        <is>
          <t>25 Miniaturen/Karton</t>
        </is>
      </c>
      <c r="G149" s="14" t="inlineStr">
        <is>
          <t>Spirituosenhandel</t>
        </is>
      </c>
      <c r="H149" s="14" t="inlineStr">
        <is>
          <t>Keller</t>
        </is>
      </c>
      <c r="I149" s="14" t="inlineStr"/>
      <c r="K149">
        <f>IF($B149="",0,IF(Suche!$B$4="",1,IF(ISNUMBER(SEARCH(Suche!$B$4,$B149&amp;" "&amp;$C149&amp;" "&amp;$G149)),1,0)))</f>
        <v/>
      </c>
      <c r="L149">
        <f>IF($K149=0,"",SUM($K$5:$K149))</f>
        <v/>
      </c>
    </row>
    <row r="150">
      <c r="A150" s="15" t="inlineStr">
        <is>
          <t>41-001</t>
        </is>
      </c>
      <c r="B150" s="16" t="inlineStr">
        <is>
          <t>Jägermeister 0,7 l</t>
        </is>
      </c>
      <c r="C150" s="17" t="inlineStr">
        <is>
          <t>Spirituosen – Bitter &amp; Aperitif</t>
        </is>
      </c>
      <c r="D150" s="17" t="inlineStr">
        <is>
          <t>Flasche 0,7 l</t>
        </is>
      </c>
      <c r="E150" s="15" t="inlineStr">
        <is>
          <t>Flasche</t>
        </is>
      </c>
      <c r="F150" s="17" t="inlineStr">
        <is>
          <t>1 Flasche</t>
        </is>
      </c>
      <c r="G150" s="17" t="inlineStr">
        <is>
          <t>Spirituosenhandel</t>
        </is>
      </c>
      <c r="H150" s="17" t="inlineStr">
        <is>
          <t>Keller</t>
        </is>
      </c>
      <c r="I150" s="17" t="inlineStr"/>
      <c r="K150">
        <f>IF($B150="",0,IF(Suche!$B$4="",1,IF(ISNUMBER(SEARCH(Suche!$B$4,$B150&amp;" "&amp;$C150&amp;" "&amp;$G150)),1,0)))</f>
        <v/>
      </c>
      <c r="L150">
        <f>IF($K150=0,"",SUM($K$5:$K150))</f>
        <v/>
      </c>
    </row>
    <row r="151">
      <c r="A151" s="12" t="inlineStr">
        <is>
          <t>44-007</t>
        </is>
      </c>
      <c r="B151" s="13" t="inlineStr">
        <is>
          <t>Jameson Irish Whiskey 0,7 l</t>
        </is>
      </c>
      <c r="C151" s="14" t="inlineStr">
        <is>
          <t>Spirituosen – Whisky &amp; Cognac</t>
        </is>
      </c>
      <c r="D151" s="14" t="inlineStr">
        <is>
          <t>Flasche 0,7 l</t>
        </is>
      </c>
      <c r="E151" s="12" t="inlineStr">
        <is>
          <t>Flasche</t>
        </is>
      </c>
      <c r="F151" s="14" t="inlineStr">
        <is>
          <t>1 Flasche</t>
        </is>
      </c>
      <c r="G151" s="14" t="inlineStr">
        <is>
          <t>Spirituosenhandel</t>
        </is>
      </c>
      <c r="H151" s="14" t="inlineStr">
        <is>
          <t>Keller</t>
        </is>
      </c>
      <c r="I151" s="14" t="inlineStr"/>
      <c r="K151">
        <f>IF($B151="",0,IF(Suche!$B$4="",1,IF(ISNUMBER(SEARCH(Suche!$B$4,$B151&amp;" "&amp;$C151&amp;" "&amp;$G151)),1,0)))</f>
        <v/>
      </c>
      <c r="L151">
        <f>IF($K151=0,"",SUM($K$5:$K151))</f>
        <v/>
      </c>
    </row>
    <row r="152">
      <c r="A152" s="15" t="inlineStr">
        <is>
          <t>44-002</t>
        </is>
      </c>
      <c r="B152" s="16" t="inlineStr">
        <is>
          <t>Jim Beam White 0,7 l</t>
        </is>
      </c>
      <c r="C152" s="17" t="inlineStr">
        <is>
          <t>Spirituosen – Whisky &amp; Cognac</t>
        </is>
      </c>
      <c r="D152" s="17" t="inlineStr">
        <is>
          <t>Flasche 0,7 l</t>
        </is>
      </c>
      <c r="E152" s="15" t="inlineStr">
        <is>
          <t>Flasche</t>
        </is>
      </c>
      <c r="F152" s="17" t="inlineStr">
        <is>
          <t>1 Flasche</t>
        </is>
      </c>
      <c r="G152" s="17" t="inlineStr">
        <is>
          <t>Spirituosenhandel</t>
        </is>
      </c>
      <c r="H152" s="17" t="inlineStr">
        <is>
          <t>Keller</t>
        </is>
      </c>
      <c r="I152" s="17" t="inlineStr"/>
      <c r="K152">
        <f>IF($B152="",0,IF(Suche!$B$4="",1,IF(ISNUMBER(SEARCH(Suche!$B$4,$B152&amp;" "&amp;$C152&amp;" "&amp;$G152)),1,0)))</f>
        <v/>
      </c>
      <c r="L152">
        <f>IF($K152=0,"",SUM($K$5:$K152))</f>
        <v/>
      </c>
    </row>
    <row r="153">
      <c r="A153" s="12" t="inlineStr">
        <is>
          <t>12-004</t>
        </is>
      </c>
      <c r="B153" s="13" t="inlineStr">
        <is>
          <t>Johannisbeernektar schwarz 1,0 l Glas</t>
        </is>
      </c>
      <c r="C153" s="14" t="inlineStr">
        <is>
          <t>AFG – Säfte &amp; Nektare</t>
        </is>
      </c>
      <c r="D153" s="14" t="inlineStr">
        <is>
          <t>Kasten 6 × 1,0 l</t>
        </is>
      </c>
      <c r="E153" s="12" t="inlineStr">
        <is>
          <t>Flasche</t>
        </is>
      </c>
      <c r="F153" s="14" t="inlineStr">
        <is>
          <t>6 Flaschen/Kasten</t>
        </is>
      </c>
      <c r="G153" s="14" t="inlineStr">
        <is>
          <t>Getränkefachgroßhandel</t>
        </is>
      </c>
      <c r="H153" s="14" t="inlineStr">
        <is>
          <t>Getränkelager</t>
        </is>
      </c>
      <c r="I153" s="14" t="inlineStr"/>
      <c r="K153">
        <f>IF($B153="",0,IF(Suche!$B$4="",1,IF(ISNUMBER(SEARCH(Suche!$B$4,$B153&amp;" "&amp;$C153&amp;" "&amp;$G153)),1,0)))</f>
        <v/>
      </c>
      <c r="L153">
        <f>IF($K153=0,"",SUM($K$5:$K153))</f>
        <v/>
      </c>
    </row>
    <row r="154">
      <c r="A154" s="15" t="inlineStr">
        <is>
          <t>44-003</t>
        </is>
      </c>
      <c r="B154" s="16" t="inlineStr">
        <is>
          <t>Johnnie Walker Red Label 0,7 l</t>
        </is>
      </c>
      <c r="C154" s="17" t="inlineStr">
        <is>
          <t>Spirituosen – Whisky &amp; Cognac</t>
        </is>
      </c>
      <c r="D154" s="17" t="inlineStr">
        <is>
          <t>Flasche 0,7 l</t>
        </is>
      </c>
      <c r="E154" s="15" t="inlineStr">
        <is>
          <t>Flasche</t>
        </is>
      </c>
      <c r="F154" s="17" t="inlineStr">
        <is>
          <t>1 Flasche</t>
        </is>
      </c>
      <c r="G154" s="17" t="inlineStr">
        <is>
          <t>Spirituosenhandel</t>
        </is>
      </c>
      <c r="H154" s="17" t="inlineStr">
        <is>
          <t>Keller</t>
        </is>
      </c>
      <c r="I154" s="17" t="inlineStr"/>
      <c r="K154">
        <f>IF($B154="",0,IF(Suche!$B$4="",1,IF(ISNUMBER(SEARCH(Suche!$B$4,$B154&amp;" "&amp;$C154&amp;" "&amp;$G154)),1,0)))</f>
        <v/>
      </c>
      <c r="L154">
        <f>IF($K154=0,"",SUM($K$5:$K154))</f>
        <v/>
      </c>
    </row>
    <row r="155">
      <c r="A155" s="12" t="inlineStr">
        <is>
          <t>50-006</t>
        </is>
      </c>
      <c r="B155" s="13" t="inlineStr">
        <is>
          <t>Kaffeefilter Größe 4</t>
        </is>
      </c>
      <c r="C155" s="14" t="inlineStr">
        <is>
          <t>Heißgetränke – Kaffee</t>
        </is>
      </c>
      <c r="D155" s="14" t="inlineStr">
        <is>
          <t>Packung 100 Stück</t>
        </is>
      </c>
      <c r="E155" s="12" t="inlineStr">
        <is>
          <t>Packung</t>
        </is>
      </c>
      <c r="F155" s="14" t="inlineStr">
        <is>
          <t>100 Stück/Packung</t>
        </is>
      </c>
      <c r="G155" s="14" t="inlineStr">
        <is>
          <t>Kaffeelieferant</t>
        </is>
      </c>
      <c r="H155" s="14" t="inlineStr">
        <is>
          <t>Trockenlager</t>
        </is>
      </c>
      <c r="I155" s="14" t="inlineStr"/>
      <c r="K155">
        <f>IF($B155="",0,IF(Suche!$B$4="",1,IF(ISNUMBER(SEARCH(Suche!$B$4,$B155&amp;" "&amp;$C155&amp;" "&amp;$G155)),1,0)))</f>
        <v/>
      </c>
      <c r="L155">
        <f>IF($K155=0,"",SUM($K$5:$K155))</f>
        <v/>
      </c>
    </row>
    <row r="156">
      <c r="A156" s="15" t="inlineStr">
        <is>
          <t>50-007</t>
        </is>
      </c>
      <c r="B156" s="16" t="inlineStr">
        <is>
          <t>Kaffeesahne 10 % Portionen 10 g</t>
        </is>
      </c>
      <c r="C156" s="17" t="inlineStr">
        <is>
          <t>Heißgetränke – Kaffee</t>
        </is>
      </c>
      <c r="D156" s="17" t="inlineStr">
        <is>
          <t>Karton 240 Stück</t>
        </is>
      </c>
      <c r="E156" s="15" t="inlineStr">
        <is>
          <t>Stück</t>
        </is>
      </c>
      <c r="F156" s="17" t="inlineStr">
        <is>
          <t>240 Portionen/Karton</t>
        </is>
      </c>
      <c r="G156" s="17" t="inlineStr">
        <is>
          <t>Kaffeelieferant</t>
        </is>
      </c>
      <c r="H156" s="17" t="inlineStr">
        <is>
          <t>Trockenlager</t>
        </is>
      </c>
      <c r="I156" s="17" t="inlineStr"/>
      <c r="K156">
        <f>IF($B156="",0,IF(Suche!$B$4="",1,IF(ISNUMBER(SEARCH(Suche!$B$4,$B156&amp;" "&amp;$C156&amp;" "&amp;$G156)),1,0)))</f>
        <v/>
      </c>
      <c r="L156">
        <f>IF($K156=0,"",SUM($K$5:$K156))</f>
        <v/>
      </c>
    </row>
    <row r="157">
      <c r="A157" s="12" t="inlineStr">
        <is>
          <t>45-006</t>
        </is>
      </c>
      <c r="B157" s="13" t="inlineStr">
        <is>
          <t>Kahlúa 0,7 l</t>
        </is>
      </c>
      <c r="C157" s="14" t="inlineStr">
        <is>
          <t>Spirituosen – Liköre</t>
        </is>
      </c>
      <c r="D157" s="14" t="inlineStr">
        <is>
          <t>Flasche 0,7 l</t>
        </is>
      </c>
      <c r="E157" s="12" t="inlineStr">
        <is>
          <t>Flasche</t>
        </is>
      </c>
      <c r="F157" s="14" t="inlineStr">
        <is>
          <t>1 Flasche</t>
        </is>
      </c>
      <c r="G157" s="14" t="inlineStr">
        <is>
          <t>Spirituosenhandel</t>
        </is>
      </c>
      <c r="H157" s="14" t="inlineStr">
        <is>
          <t>Keller</t>
        </is>
      </c>
      <c r="I157" s="14" t="inlineStr"/>
      <c r="K157">
        <f>IF($B157="",0,IF(Suche!$B$4="",1,IF(ISNUMBER(SEARCH(Suche!$B$4,$B157&amp;" "&amp;$C157&amp;" "&amp;$G157)),1,0)))</f>
        <v/>
      </c>
      <c r="L157">
        <f>IF($K157=0,"",SUM($K$5:$K157))</f>
        <v/>
      </c>
    </row>
    <row r="158">
      <c r="A158" s="15" t="inlineStr">
        <is>
          <t>51-012</t>
        </is>
      </c>
      <c r="B158" s="16" t="inlineStr">
        <is>
          <t>Kakaopulver schwach entölt 1 kg</t>
        </is>
      </c>
      <c r="C158" s="17" t="inlineStr">
        <is>
          <t>Heißgetränke – Tee &amp; Kakao</t>
        </is>
      </c>
      <c r="D158" s="17" t="inlineStr">
        <is>
          <t>Packung 1 kg</t>
        </is>
      </c>
      <c r="E158" s="15" t="inlineStr">
        <is>
          <t>Packung</t>
        </is>
      </c>
      <c r="F158" s="17" t="inlineStr">
        <is>
          <t>1 kg/Packung</t>
        </is>
      </c>
      <c r="G158" s="17" t="inlineStr">
        <is>
          <t>Kaffeelieferant</t>
        </is>
      </c>
      <c r="H158" s="17" t="inlineStr">
        <is>
          <t>Trockenlager</t>
        </is>
      </c>
      <c r="I158" s="17" t="inlineStr"/>
      <c r="K158">
        <f>IF($B158="",0,IF(Suche!$B$4="",1,IF(ISNUMBER(SEARCH(Suche!$B$4,$B158&amp;" "&amp;$C158&amp;" "&amp;$G158)),1,0)))</f>
        <v/>
      </c>
      <c r="L158">
        <f>IF($K158=0,"",SUM($K$5:$K158))</f>
        <v/>
      </c>
    </row>
    <row r="159">
      <c r="A159" s="12" t="inlineStr">
        <is>
          <t>71-007</t>
        </is>
      </c>
      <c r="B159" s="13" t="inlineStr">
        <is>
          <t>Kalbsfond 1 l</t>
        </is>
      </c>
      <c r="C159" s="14" t="inlineStr">
        <is>
          <t>Küche – Konserven &amp; Saucen</t>
        </is>
      </c>
      <c r="D159" s="14" t="inlineStr">
        <is>
          <t>Flasche 1 l</t>
        </is>
      </c>
      <c r="E159" s="12" t="inlineStr">
        <is>
          <t>Flasche</t>
        </is>
      </c>
      <c r="F159" s="14" t="inlineStr">
        <is>
          <t>1 l/Flasche</t>
        </is>
      </c>
      <c r="G159" s="14" t="inlineStr">
        <is>
          <t>Lebensmittelgroßhandel</t>
        </is>
      </c>
      <c r="H159" s="14" t="inlineStr">
        <is>
          <t>Trockenlager</t>
        </is>
      </c>
      <c r="I159" s="14" t="inlineStr"/>
      <c r="K159">
        <f>IF($B159="",0,IF(Suche!$B$4="",1,IF(ISNUMBER(SEARCH(Suche!$B$4,$B159&amp;" "&amp;$C159&amp;" "&amp;$G159)),1,0)))</f>
        <v/>
      </c>
      <c r="L159">
        <f>IF($K159=0,"",SUM($K$5:$K159))</f>
        <v/>
      </c>
    </row>
    <row r="160">
      <c r="A160" s="15" t="inlineStr">
        <is>
          <t>81-004</t>
        </is>
      </c>
      <c r="B160" s="16" t="inlineStr">
        <is>
          <t>Kalklöser 1 l</t>
        </is>
      </c>
      <c r="C160" s="17" t="inlineStr">
        <is>
          <t>Housekeeping – Reinigung</t>
        </is>
      </c>
      <c r="D160" s="17" t="inlineStr">
        <is>
          <t>Flasche 1 l</t>
        </is>
      </c>
      <c r="E160" s="15" t="inlineStr">
        <is>
          <t>Flasche</t>
        </is>
      </c>
      <c r="F160" s="17" t="inlineStr">
        <is>
          <t>1 l/Flasche</t>
        </is>
      </c>
      <c r="G160" s="17" t="inlineStr">
        <is>
          <t>Hygiene- &amp; Reinigungsbedarf</t>
        </is>
      </c>
      <c r="H160" s="17" t="inlineStr">
        <is>
          <t>Housekeeping</t>
        </is>
      </c>
      <c r="I160" s="17" t="inlineStr"/>
      <c r="K160">
        <f>IF($B160="",0,IF(Suche!$B$4="",1,IF(ISNUMBER(SEARCH(Suche!$B$4,$B160&amp;" "&amp;$C160&amp;" "&amp;$G160)),1,0)))</f>
        <v/>
      </c>
      <c r="L160">
        <f>IF($K160=0,"",SUM($K$5:$K160))</f>
        <v/>
      </c>
    </row>
    <row r="161">
      <c r="A161" s="12" t="inlineStr">
        <is>
          <t>51-006</t>
        </is>
      </c>
      <c r="B161" s="13" t="inlineStr">
        <is>
          <t>Kamillentee Teebeutel</t>
        </is>
      </c>
      <c r="C161" s="14" t="inlineStr">
        <is>
          <t>Heißgetränke – Tee &amp; Kakao</t>
        </is>
      </c>
      <c r="D161" s="14" t="inlineStr">
        <is>
          <t>Karton 25 Beutel</t>
        </is>
      </c>
      <c r="E161" s="12" t="inlineStr">
        <is>
          <t>Packung</t>
        </is>
      </c>
      <c r="F161" s="14" t="inlineStr">
        <is>
          <t>25 Beutel/Packung</t>
        </is>
      </c>
      <c r="G161" s="14" t="inlineStr">
        <is>
          <t>Kaffeelieferant</t>
        </is>
      </c>
      <c r="H161" s="14" t="inlineStr">
        <is>
          <t>Trockenlager</t>
        </is>
      </c>
      <c r="I161" s="14" t="inlineStr"/>
      <c r="K161">
        <f>IF($B161="",0,IF(Suche!$B$4="",1,IF(ISNUMBER(SEARCH(Suche!$B$4,$B161&amp;" "&amp;$C161&amp;" "&amp;$G161)),1,0)))</f>
        <v/>
      </c>
      <c r="L161">
        <f>IF($K161=0,"",SUM($K$5:$K161))</f>
        <v/>
      </c>
    </row>
    <row r="162">
      <c r="A162" s="15" t="inlineStr">
        <is>
          <t>50-009</t>
        </is>
      </c>
      <c r="B162" s="16" t="inlineStr">
        <is>
          <t>Kandiszucker braun 1 kg</t>
        </is>
      </c>
      <c r="C162" s="17" t="inlineStr">
        <is>
          <t>Heißgetränke – Kaffee</t>
        </is>
      </c>
      <c r="D162" s="17" t="inlineStr">
        <is>
          <t>Packung 1 kg</t>
        </is>
      </c>
      <c r="E162" s="15" t="inlineStr">
        <is>
          <t>Packung</t>
        </is>
      </c>
      <c r="F162" s="17" t="inlineStr">
        <is>
          <t>1 kg/Packung</t>
        </is>
      </c>
      <c r="G162" s="17" t="inlineStr">
        <is>
          <t>Kaffeelieferant</t>
        </is>
      </c>
      <c r="H162" s="17" t="inlineStr">
        <is>
          <t>Trockenlager</t>
        </is>
      </c>
      <c r="I162" s="17" t="inlineStr"/>
      <c r="K162">
        <f>IF($B162="",0,IF(Suche!$B$4="",1,IF(ISNUMBER(SEARCH(Suche!$B$4,$B162&amp;" "&amp;$C162&amp;" "&amp;$G162)),1,0)))</f>
        <v/>
      </c>
      <c r="L162">
        <f>IF($K162=0,"",SUM($K$5:$K162))</f>
        <v/>
      </c>
    </row>
    <row r="163">
      <c r="A163" s="12" t="inlineStr">
        <is>
          <t>70-031</t>
        </is>
      </c>
      <c r="B163" s="13" t="inlineStr">
        <is>
          <t>Kartoffeln festkochend 12,5 kg</t>
        </is>
      </c>
      <c r="C163" s="14" t="inlineStr">
        <is>
          <t>Küche – Trockenlager</t>
        </is>
      </c>
      <c r="D163" s="14" t="inlineStr">
        <is>
          <t>Sack 12,5 kg</t>
        </is>
      </c>
      <c r="E163" s="12" t="inlineStr">
        <is>
          <t>kg</t>
        </is>
      </c>
      <c r="F163" s="14" t="inlineStr">
        <is>
          <t>12,5 kg/Sack</t>
        </is>
      </c>
      <c r="G163" s="14" t="inlineStr">
        <is>
          <t>Lebensmittelgroßhandel</t>
        </is>
      </c>
      <c r="H163" s="14" t="inlineStr">
        <is>
          <t>Trockenlager</t>
        </is>
      </c>
      <c r="I163" s="14" t="inlineStr"/>
      <c r="K163">
        <f>IF($B163="",0,IF(Suche!$B$4="",1,IF(ISNUMBER(SEARCH(Suche!$B$4,$B163&amp;" "&amp;$C163&amp;" "&amp;$G163)),1,0)))</f>
        <v/>
      </c>
      <c r="L163">
        <f>IF($K163=0,"",SUM($K$5:$K163))</f>
        <v/>
      </c>
    </row>
    <row r="164">
      <c r="A164" s="15" t="inlineStr">
        <is>
          <t>30-015</t>
        </is>
      </c>
      <c r="B164" s="16" t="inlineStr">
        <is>
          <t>Kerner QbA halbtrocken 0,75 l</t>
        </is>
      </c>
      <c r="C164" s="17" t="inlineStr">
        <is>
          <t>Wein – Weiß</t>
        </is>
      </c>
      <c r="D164" s="17" t="inlineStr">
        <is>
          <t>Karton 6 × 0,75 l</t>
        </is>
      </c>
      <c r="E164" s="15" t="inlineStr">
        <is>
          <t>Flasche</t>
        </is>
      </c>
      <c r="F164" s="17" t="inlineStr">
        <is>
          <t>6 Flaschen/Karton</t>
        </is>
      </c>
      <c r="G164" s="17" t="inlineStr">
        <is>
          <t>Weinhandel</t>
        </is>
      </c>
      <c r="H164" s="17" t="inlineStr">
        <is>
          <t>Weinkeller</t>
        </is>
      </c>
      <c r="I164" s="17" t="inlineStr"/>
      <c r="K164">
        <f>IF($B164="",0,IF(Suche!$B$4="",1,IF(ISNUMBER(SEARCH(Suche!$B$4,$B164&amp;" "&amp;$C164&amp;" "&amp;$G164)),1,0)))</f>
        <v/>
      </c>
      <c r="L164">
        <f>IF($K164=0,"",SUM($K$5:$K164))</f>
        <v/>
      </c>
    </row>
    <row r="165">
      <c r="A165" s="12" t="inlineStr">
        <is>
          <t>71-009</t>
        </is>
      </c>
      <c r="B165" s="13" t="inlineStr">
        <is>
          <t>Ketchup 10 kg</t>
        </is>
      </c>
      <c r="C165" s="14" t="inlineStr">
        <is>
          <t>Küche – Konserven &amp; Saucen</t>
        </is>
      </c>
      <c r="D165" s="14" t="inlineStr">
        <is>
          <t>Eimer 10 kg</t>
        </is>
      </c>
      <c r="E165" s="12" t="inlineStr">
        <is>
          <t>Eimer</t>
        </is>
      </c>
      <c r="F165" s="14" t="inlineStr">
        <is>
          <t>10 kg/Eimer</t>
        </is>
      </c>
      <c r="G165" s="14" t="inlineStr">
        <is>
          <t>Lebensmittelgroßhandel</t>
        </is>
      </c>
      <c r="H165" s="14" t="inlineStr">
        <is>
          <t>Trockenlager</t>
        </is>
      </c>
      <c r="I165" s="14" t="inlineStr"/>
      <c r="K165">
        <f>IF($B165="",0,IF(Suche!$B$4="",1,IF(ISNUMBER(SEARCH(Suche!$B$4,$B165&amp;" "&amp;$C165&amp;" "&amp;$G165)),1,0)))</f>
        <v/>
      </c>
      <c r="L165">
        <f>IF($K165=0,"",SUM($K$5:$K165))</f>
        <v/>
      </c>
    </row>
    <row r="166">
      <c r="A166" s="15" t="inlineStr">
        <is>
          <t>12-012</t>
        </is>
      </c>
      <c r="B166" s="16" t="inlineStr">
        <is>
          <t>Kirschnektar 1,0 l Glas</t>
        </is>
      </c>
      <c r="C166" s="17" t="inlineStr">
        <is>
          <t>AFG – Säfte &amp; Nektare</t>
        </is>
      </c>
      <c r="D166" s="17" t="inlineStr">
        <is>
          <t>Kasten 6 × 1,0 l</t>
        </is>
      </c>
      <c r="E166" s="15" t="inlineStr">
        <is>
          <t>Flasche</t>
        </is>
      </c>
      <c r="F166" s="17" t="inlineStr">
        <is>
          <t>6 Flaschen/Kasten</t>
        </is>
      </c>
      <c r="G166" s="17" t="inlineStr">
        <is>
          <t>Getränkefachgroßhandel</t>
        </is>
      </c>
      <c r="H166" s="17" t="inlineStr">
        <is>
          <t>Getränkelager</t>
        </is>
      </c>
      <c r="I166" s="17" t="inlineStr"/>
      <c r="K166">
        <f>IF($B166="",0,IF(Suche!$B$4="",1,IF(ISNUMBER(SEARCH(Suche!$B$4,$B166&amp;" "&amp;$C166&amp;" "&amp;$G166)),1,0)))</f>
        <v/>
      </c>
      <c r="L166">
        <f>IF($K166=0,"",SUM($K$5:$K166))</f>
        <v/>
      </c>
    </row>
    <row r="167">
      <c r="A167" s="12" t="inlineStr">
        <is>
          <t>81-010</t>
        </is>
      </c>
      <c r="B167" s="13" t="inlineStr">
        <is>
          <t>Klarspüler 10 l</t>
        </is>
      </c>
      <c r="C167" s="14" t="inlineStr">
        <is>
          <t>Housekeeping – Reinigung</t>
        </is>
      </c>
      <c r="D167" s="14" t="inlineStr">
        <is>
          <t>Kanister 10 l</t>
        </is>
      </c>
      <c r="E167" s="12" t="inlineStr">
        <is>
          <t>Kanister</t>
        </is>
      </c>
      <c r="F167" s="14" t="inlineStr">
        <is>
          <t>10 l/Kanister</t>
        </is>
      </c>
      <c r="G167" s="14" t="inlineStr">
        <is>
          <t>Hygiene- &amp; Reinigungsbedarf</t>
        </is>
      </c>
      <c r="H167" s="14" t="inlineStr">
        <is>
          <t>Housekeeping</t>
        </is>
      </c>
      <c r="I167" s="14" t="inlineStr"/>
      <c r="K167">
        <f>IF($B167="",0,IF(Suche!$B$4="",1,IF(ISNUMBER(SEARCH(Suche!$B$4,$B167&amp;" "&amp;$C167&amp;" "&amp;$G167)),1,0)))</f>
        <v/>
      </c>
      <c r="L167">
        <f>IF($K167=0,"",SUM($K$5:$K167))</f>
        <v/>
      </c>
    </row>
    <row r="168">
      <c r="A168" s="15" t="inlineStr">
        <is>
          <t>70-033</t>
        </is>
      </c>
      <c r="B168" s="16" t="inlineStr">
        <is>
          <t>Knoblauch 1 kg</t>
        </is>
      </c>
      <c r="C168" s="17" t="inlineStr">
        <is>
          <t>Küche – Trockenlager</t>
        </is>
      </c>
      <c r="D168" s="17" t="inlineStr">
        <is>
          <t>Karton 1 kg</t>
        </is>
      </c>
      <c r="E168" s="15" t="inlineStr">
        <is>
          <t>kg</t>
        </is>
      </c>
      <c r="F168" s="17" t="inlineStr">
        <is>
          <t>1 kg/Karton</t>
        </is>
      </c>
      <c r="G168" s="17" t="inlineStr">
        <is>
          <t>Lebensmittelgroßhandel</t>
        </is>
      </c>
      <c r="H168" s="17" t="inlineStr">
        <is>
          <t>Trockenlager</t>
        </is>
      </c>
      <c r="I168" s="17" t="inlineStr"/>
      <c r="K168">
        <f>IF($B168="",0,IF(Suche!$B$4="",1,IF(ISNUMBER(SEARCH(Suche!$B$4,$B168&amp;" "&amp;$C168&amp;" "&amp;$G168)),1,0)))</f>
        <v/>
      </c>
      <c r="L168">
        <f>IF($K168=0,"",SUM($K$5:$K168))</f>
        <v/>
      </c>
    </row>
    <row r="169">
      <c r="A169" s="12" t="inlineStr">
        <is>
          <t>72-021</t>
        </is>
      </c>
      <c r="B169" s="13" t="inlineStr">
        <is>
          <t>Kochschinken am Stück</t>
        </is>
      </c>
      <c r="C169" s="14" t="inlineStr">
        <is>
          <t>Küche – Kühlhaus</t>
        </is>
      </c>
      <c r="D169" s="14" t="inlineStr">
        <is>
          <t>Stück ca. 1 kg</t>
        </is>
      </c>
      <c r="E169" s="12" t="inlineStr">
        <is>
          <t>kg</t>
        </is>
      </c>
      <c r="F169" s="14" t="inlineStr">
        <is>
          <t>ca. 1 kg/Stück</t>
        </is>
      </c>
      <c r="G169" s="14" t="inlineStr">
        <is>
          <t>Lebensmittelgroßhandel</t>
        </is>
      </c>
      <c r="H169" s="14" t="inlineStr">
        <is>
          <t>Kühlhaus</t>
        </is>
      </c>
      <c r="I169" s="14" t="inlineStr"/>
      <c r="K169">
        <f>IF($B169="",0,IF(Suche!$B$4="",1,IF(ISNUMBER(SEARCH(Suche!$B$4,$B169&amp;" "&amp;$C169&amp;" "&amp;$G169)),1,0)))</f>
        <v/>
      </c>
      <c r="L169">
        <f>IF($K169=0,"",SUM($K$5:$K169))</f>
        <v/>
      </c>
    </row>
    <row r="170">
      <c r="A170" s="15" t="inlineStr">
        <is>
          <t>71-017</t>
        </is>
      </c>
      <c r="B170" s="16" t="inlineStr">
        <is>
          <t>Konfitüre Portionen 25 g</t>
        </is>
      </c>
      <c r="C170" s="17" t="inlineStr">
        <is>
          <t>Küche – Konserven &amp; Saucen</t>
        </is>
      </c>
      <c r="D170" s="17" t="inlineStr">
        <is>
          <t>Karton 100 Stück</t>
        </is>
      </c>
      <c r="E170" s="15" t="inlineStr">
        <is>
          <t>Stück</t>
        </is>
      </c>
      <c r="F170" s="17" t="inlineStr">
        <is>
          <t>100 Portionen/Karton</t>
        </is>
      </c>
      <c r="G170" s="17" t="inlineStr">
        <is>
          <t>Lebensmittelgroßhandel</t>
        </is>
      </c>
      <c r="H170" s="17" t="inlineStr">
        <is>
          <t>Trockenlager</t>
        </is>
      </c>
      <c r="I170" s="17" t="inlineStr"/>
      <c r="K170">
        <f>IF($B170="",0,IF(Suche!$B$4="",1,IF(ISNUMBER(SEARCH(Suche!$B$4,$B170&amp;" "&amp;$C170&amp;" "&amp;$G170)),1,0)))</f>
        <v/>
      </c>
      <c r="L170">
        <f>IF($K170=0,"",SUM($K$5:$K170))</f>
        <v/>
      </c>
    </row>
    <row r="171">
      <c r="A171" s="12" t="inlineStr">
        <is>
          <t>80-012</t>
        </is>
      </c>
      <c r="B171" s="13" t="inlineStr">
        <is>
          <t>Kosmetiktücher Box</t>
        </is>
      </c>
      <c r="C171" s="14" t="inlineStr">
        <is>
          <t>Housekeeping – Gästeartikel</t>
        </is>
      </c>
      <c r="D171" s="14" t="inlineStr">
        <is>
          <t>Karton 40 Boxen</t>
        </is>
      </c>
      <c r="E171" s="12" t="inlineStr">
        <is>
          <t>Stück</t>
        </is>
      </c>
      <c r="F171" s="14" t="inlineStr">
        <is>
          <t>40 Boxen/Karton</t>
        </is>
      </c>
      <c r="G171" s="14" t="inlineStr">
        <is>
          <t>Hygiene- &amp; Reinigungsbedarf</t>
        </is>
      </c>
      <c r="H171" s="14" t="inlineStr">
        <is>
          <t>Housekeeping</t>
        </is>
      </c>
      <c r="I171" s="14" t="inlineStr"/>
      <c r="K171">
        <f>IF($B171="",0,IF(Suche!$B$4="",1,IF(ISNUMBER(SEARCH(Suche!$B$4,$B171&amp;" "&amp;$C171&amp;" "&amp;$G171)),1,0)))</f>
        <v/>
      </c>
      <c r="L171">
        <f>IF($K171=0,"",SUM($K$5:$K171))</f>
        <v/>
      </c>
    </row>
    <row r="172">
      <c r="A172" s="15" t="inlineStr">
        <is>
          <t>51-010</t>
        </is>
      </c>
      <c r="B172" s="16" t="inlineStr">
        <is>
          <t>Kräutertee Teebeutel</t>
        </is>
      </c>
      <c r="C172" s="17" t="inlineStr">
        <is>
          <t>Heißgetränke – Tee &amp; Kakao</t>
        </is>
      </c>
      <c r="D172" s="17" t="inlineStr">
        <is>
          <t>Karton 25 Beutel</t>
        </is>
      </c>
      <c r="E172" s="15" t="inlineStr">
        <is>
          <t>Packung</t>
        </is>
      </c>
      <c r="F172" s="17" t="inlineStr">
        <is>
          <t>25 Beutel/Packung</t>
        </is>
      </c>
      <c r="G172" s="17" t="inlineStr">
        <is>
          <t>Kaffeelieferant</t>
        </is>
      </c>
      <c r="H172" s="17" t="inlineStr">
        <is>
          <t>Trockenlager</t>
        </is>
      </c>
      <c r="I172" s="17" t="inlineStr"/>
      <c r="K172">
        <f>IF($B172="",0,IF(Suche!$B$4="",1,IF(ISNUMBER(SEARCH(Suche!$B$4,$B172&amp;" "&amp;$C172&amp;" "&amp;$G172)),1,0)))</f>
        <v/>
      </c>
      <c r="L172">
        <f>IF($K172=0,"",SUM($K$5:$K172))</f>
        <v/>
      </c>
    </row>
    <row r="173">
      <c r="A173" s="12" t="inlineStr">
        <is>
          <t>73-002</t>
        </is>
      </c>
      <c r="B173" s="13" t="inlineStr">
        <is>
          <t>Kroketten 2,5 kg</t>
        </is>
      </c>
      <c r="C173" s="14" t="inlineStr">
        <is>
          <t>Küche – Tiefkühl</t>
        </is>
      </c>
      <c r="D173" s="14" t="inlineStr">
        <is>
          <t>Karton 10 kg</t>
        </is>
      </c>
      <c r="E173" s="12" t="inlineStr">
        <is>
          <t>kg</t>
        </is>
      </c>
      <c r="F173" s="14" t="inlineStr">
        <is>
          <t>10 kg/Karton</t>
        </is>
      </c>
      <c r="G173" s="14" t="inlineStr">
        <is>
          <t>Lebensmittelgroßhandel</t>
        </is>
      </c>
      <c r="H173" s="14" t="inlineStr">
        <is>
          <t>Tiefkühllager</t>
        </is>
      </c>
      <c r="I173" s="14" t="inlineStr"/>
      <c r="K173">
        <f>IF($B173="",0,IF(Suche!$B$4="",1,IF(ISNUMBER(SEARCH(Suche!$B$4,$B173&amp;" "&amp;$C173&amp;" "&amp;$G173)),1,0)))</f>
        <v/>
      </c>
      <c r="L173">
        <f>IF($K173=0,"",SUM($K$5:$K173))</f>
        <v/>
      </c>
    </row>
    <row r="174">
      <c r="A174" s="15" t="inlineStr">
        <is>
          <t>81-019</t>
        </is>
      </c>
      <c r="B174" s="16" t="inlineStr">
        <is>
          <t>Küchenrolle</t>
        </is>
      </c>
      <c r="C174" s="17" t="inlineStr">
        <is>
          <t>Housekeeping – Reinigung</t>
        </is>
      </c>
      <c r="D174" s="17" t="inlineStr">
        <is>
          <t>Packung 4 Rollen</t>
        </is>
      </c>
      <c r="E174" s="15" t="inlineStr">
        <is>
          <t>Rolle</t>
        </is>
      </c>
      <c r="F174" s="17" t="inlineStr">
        <is>
          <t>4 Rollen/Packung</t>
        </is>
      </c>
      <c r="G174" s="17" t="inlineStr">
        <is>
          <t>Hygiene- &amp; Reinigungsbedarf</t>
        </is>
      </c>
      <c r="H174" s="17" t="inlineStr">
        <is>
          <t>Housekeeping</t>
        </is>
      </c>
      <c r="I174" s="17" t="inlineStr"/>
      <c r="K174">
        <f>IF($B174="",0,IF(Suche!$B$4="",1,IF(ISNUMBER(SEARCH(Suche!$B$4,$B174&amp;" "&amp;$C174&amp;" "&amp;$G174)),1,0)))</f>
        <v/>
      </c>
      <c r="L174">
        <f>IF($K174=0,"",SUM($K$5:$K174))</f>
        <v/>
      </c>
    </row>
    <row r="175">
      <c r="A175" s="12" t="inlineStr">
        <is>
          <t>80-015</t>
        </is>
      </c>
      <c r="B175" s="13" t="inlineStr">
        <is>
          <t>Kugelschreiber</t>
        </is>
      </c>
      <c r="C175" s="14" t="inlineStr">
        <is>
          <t>Housekeeping – Gästeartikel</t>
        </is>
      </c>
      <c r="D175" s="14" t="inlineStr">
        <is>
          <t>Karton 100 Stück</t>
        </is>
      </c>
      <c r="E175" s="12" t="inlineStr">
        <is>
          <t>Stück</t>
        </is>
      </c>
      <c r="F175" s="14" t="inlineStr">
        <is>
          <t>100 Stück/Karton</t>
        </is>
      </c>
      <c r="G175" s="14" t="inlineStr">
        <is>
          <t>Hygiene- &amp; Reinigungsbedarf</t>
        </is>
      </c>
      <c r="H175" s="14" t="inlineStr">
        <is>
          <t>Housekeeping</t>
        </is>
      </c>
      <c r="I175" s="14" t="inlineStr"/>
      <c r="K175">
        <f>IF($B175="",0,IF(Suche!$B$4="",1,IF(ISNUMBER(SEARCH(Suche!$B$4,$B175&amp;" "&amp;$C175&amp;" "&amp;$G175)),1,0)))</f>
        <v/>
      </c>
      <c r="L175">
        <f>IF($K175=0,"",SUM($K$5:$K175))</f>
        <v/>
      </c>
    </row>
    <row r="176">
      <c r="A176" s="15" t="inlineStr">
        <is>
          <t>73-007</t>
        </is>
      </c>
      <c r="B176" s="16" t="inlineStr">
        <is>
          <t>Lachsfilet TK</t>
        </is>
      </c>
      <c r="C176" s="17" t="inlineStr">
        <is>
          <t>Küche – Tiefkühl</t>
        </is>
      </c>
      <c r="D176" s="17" t="inlineStr">
        <is>
          <t>Karton 5 kg</t>
        </is>
      </c>
      <c r="E176" s="15" t="inlineStr">
        <is>
          <t>kg</t>
        </is>
      </c>
      <c r="F176" s="17" t="inlineStr">
        <is>
          <t>5 kg/Karton</t>
        </is>
      </c>
      <c r="G176" s="17" t="inlineStr">
        <is>
          <t>Lebensmittelgroßhandel</t>
        </is>
      </c>
      <c r="H176" s="17" t="inlineStr">
        <is>
          <t>Tiefkühllager</t>
        </is>
      </c>
      <c r="I176" s="17" t="inlineStr"/>
      <c r="K176">
        <f>IF($B176="",0,IF(Suche!$B$4="",1,IF(ISNUMBER(SEARCH(Suche!$B$4,$B176&amp;" "&amp;$C176&amp;" "&amp;$G176)),1,0)))</f>
        <v/>
      </c>
      <c r="L176">
        <f>IF($K176=0,"",SUM($K$5:$K176))</f>
        <v/>
      </c>
    </row>
    <row r="177">
      <c r="A177" s="12" t="inlineStr">
        <is>
          <t>72-005</t>
        </is>
      </c>
      <c r="B177" s="13" t="inlineStr">
        <is>
          <t>Laktosefreie Milch 1 l</t>
        </is>
      </c>
      <c r="C177" s="14" t="inlineStr">
        <is>
          <t>Küche – Kühlhaus</t>
        </is>
      </c>
      <c r="D177" s="14" t="inlineStr">
        <is>
          <t>Karton 12 × 1 l</t>
        </is>
      </c>
      <c r="E177" s="12" t="inlineStr">
        <is>
          <t>l</t>
        </is>
      </c>
      <c r="F177" s="14" t="inlineStr">
        <is>
          <t>12 l/Karton</t>
        </is>
      </c>
      <c r="G177" s="14" t="inlineStr">
        <is>
          <t>Lebensmittelgroßhandel</t>
        </is>
      </c>
      <c r="H177" s="14" t="inlineStr">
        <is>
          <t>Kühlhaus</t>
        </is>
      </c>
      <c r="I177" s="14" t="inlineStr"/>
      <c r="K177">
        <f>IF($B177="",0,IF(Suche!$B$4="",1,IF(ISNUMBER(SEARCH(Suche!$B$4,$B177&amp;" "&amp;$C177&amp;" "&amp;$G177)),1,0)))</f>
        <v/>
      </c>
      <c r="L177">
        <f>IF($K177=0,"",SUM($K$5:$K177))</f>
        <v/>
      </c>
    </row>
    <row r="178">
      <c r="A178" s="15" t="inlineStr">
        <is>
          <t>70-024</t>
        </is>
      </c>
      <c r="B178" s="16" t="inlineStr">
        <is>
          <t>Langkornreis 5 kg</t>
        </is>
      </c>
      <c r="C178" s="17" t="inlineStr">
        <is>
          <t>Küche – Trockenlager</t>
        </is>
      </c>
      <c r="D178" s="17" t="inlineStr">
        <is>
          <t>Sack 5 kg</t>
        </is>
      </c>
      <c r="E178" s="15" t="inlineStr">
        <is>
          <t>kg</t>
        </is>
      </c>
      <c r="F178" s="17" t="inlineStr">
        <is>
          <t>5 kg/Sack</t>
        </is>
      </c>
      <c r="G178" s="17" t="inlineStr">
        <is>
          <t>Lebensmittelgroßhandel</t>
        </is>
      </c>
      <c r="H178" s="17" t="inlineStr">
        <is>
          <t>Trockenlager</t>
        </is>
      </c>
      <c r="I178" s="17" t="inlineStr"/>
      <c r="K178">
        <f>IF($B178="",0,IF(Suche!$B$4="",1,IF(ISNUMBER(SEARCH(Suche!$B$4,$B178&amp;" "&amp;$C178&amp;" "&amp;$G178)),1,0)))</f>
        <v/>
      </c>
      <c r="L178">
        <f>IF($K178=0,"",SUM($K$5:$K178))</f>
        <v/>
      </c>
    </row>
    <row r="179">
      <c r="A179" s="12" t="inlineStr">
        <is>
          <t>32-005</t>
        </is>
      </c>
      <c r="B179" s="13" t="inlineStr">
        <is>
          <t>Lemberger QbA trocken 0,75 l</t>
        </is>
      </c>
      <c r="C179" s="14" t="inlineStr">
        <is>
          <t>Wein – Rot</t>
        </is>
      </c>
      <c r="D179" s="14" t="inlineStr">
        <is>
          <t>Karton 6 × 0,75 l</t>
        </is>
      </c>
      <c r="E179" s="12" t="inlineStr">
        <is>
          <t>Flasche</t>
        </is>
      </c>
      <c r="F179" s="14" t="inlineStr">
        <is>
          <t>6 Flaschen/Karton</t>
        </is>
      </c>
      <c r="G179" s="14" t="inlineStr">
        <is>
          <t>Weinhandel</t>
        </is>
      </c>
      <c r="H179" s="14" t="inlineStr">
        <is>
          <t>Weinkeller</t>
        </is>
      </c>
      <c r="I179" s="14" t="inlineStr"/>
      <c r="K179">
        <f>IF($B179="",0,IF(Suche!$B$4="",1,IF(ISNUMBER(SEARCH(Suche!$B$4,$B179&amp;" "&amp;$C179&amp;" "&amp;$G179)),1,0)))</f>
        <v/>
      </c>
      <c r="L179">
        <f>IF($K179=0,"",SUM($K$5:$K179))</f>
        <v/>
      </c>
    </row>
    <row r="180">
      <c r="A180" s="15" t="inlineStr">
        <is>
          <t>41-011</t>
        </is>
      </c>
      <c r="B180" s="16" t="inlineStr">
        <is>
          <t>Lillet Blanc 0,75 l</t>
        </is>
      </c>
      <c r="C180" s="17" t="inlineStr">
        <is>
          <t>Spirituosen – Bitter &amp; Aperitif</t>
        </is>
      </c>
      <c r="D180" s="17" t="inlineStr">
        <is>
          <t>Flasche 0,75 l</t>
        </is>
      </c>
      <c r="E180" s="15" t="inlineStr">
        <is>
          <t>Flasche</t>
        </is>
      </c>
      <c r="F180" s="17" t="inlineStr">
        <is>
          <t>1 Flasche</t>
        </is>
      </c>
      <c r="G180" s="17" t="inlineStr">
        <is>
          <t>Spirituosenhandel</t>
        </is>
      </c>
      <c r="H180" s="17" t="inlineStr">
        <is>
          <t>Keller</t>
        </is>
      </c>
      <c r="I180" s="17" t="inlineStr"/>
      <c r="K180">
        <f>IF($B180="",0,IF(Suche!$B$4="",1,IF(ISNUMBER(SEARCH(Suche!$B$4,$B180&amp;" "&amp;$C180&amp;" "&amp;$G180)),1,0)))</f>
        <v/>
      </c>
      <c r="L180">
        <f>IF($K180=0,"",SUM($K$5:$K180))</f>
        <v/>
      </c>
    </row>
    <row r="181">
      <c r="A181" s="12" t="inlineStr">
        <is>
          <t>60-006</t>
        </is>
      </c>
      <c r="B181" s="13" t="inlineStr">
        <is>
          <t>Limetten frisch</t>
        </is>
      </c>
      <c r="C181" s="14" t="inlineStr">
        <is>
          <t>Bar – Zubehör &amp; Frischware</t>
        </is>
      </c>
      <c r="D181" s="14" t="inlineStr">
        <is>
          <t>Kiste 5 kg</t>
        </is>
      </c>
      <c r="E181" s="12" t="inlineStr">
        <is>
          <t>kg</t>
        </is>
      </c>
      <c r="F181" s="14" t="inlineStr">
        <is>
          <t>5 kg/Kiste</t>
        </is>
      </c>
      <c r="G181" s="14" t="inlineStr">
        <is>
          <t>Lebensmittelgroßhandel</t>
        </is>
      </c>
      <c r="H181" s="14" t="inlineStr">
        <is>
          <t>Bar</t>
        </is>
      </c>
      <c r="I181" s="14" t="inlineStr"/>
      <c r="K181">
        <f>IF($B181="",0,IF(Suche!$B$4="",1,IF(ISNUMBER(SEARCH(Suche!$B$4,$B181&amp;" "&amp;$C181&amp;" "&amp;$G181)),1,0)))</f>
        <v/>
      </c>
      <c r="L181">
        <f>IF($K181=0,"",SUM($K$5:$K181))</f>
        <v/>
      </c>
    </row>
    <row r="182">
      <c r="A182" s="15" t="inlineStr">
        <is>
          <t>45-008</t>
        </is>
      </c>
      <c r="B182" s="16" t="inlineStr">
        <is>
          <t>Limoncello 0,5 l</t>
        </is>
      </c>
      <c r="C182" s="17" t="inlineStr">
        <is>
          <t>Spirituosen – Liköre</t>
        </is>
      </c>
      <c r="D182" s="17" t="inlineStr">
        <is>
          <t>Flasche 0,5 l</t>
        </is>
      </c>
      <c r="E182" s="15" t="inlineStr">
        <is>
          <t>Flasche</t>
        </is>
      </c>
      <c r="F182" s="17" t="inlineStr">
        <is>
          <t>1 Flasche</t>
        </is>
      </c>
      <c r="G182" s="17" t="inlineStr">
        <is>
          <t>Spirituosenhandel</t>
        </is>
      </c>
      <c r="H182" s="17" t="inlineStr">
        <is>
          <t>Keller</t>
        </is>
      </c>
      <c r="I182" s="17" t="inlineStr"/>
      <c r="K182">
        <f>IF($B182="",0,IF(Suche!$B$4="",1,IF(ISNUMBER(SEARCH(Suche!$B$4,$B182&amp;" "&amp;$C182&amp;" "&amp;$G182)),1,0)))</f>
        <v/>
      </c>
      <c r="L182">
        <f>IF($K182=0,"",SUM($K$5:$K182))</f>
        <v/>
      </c>
    </row>
    <row r="183">
      <c r="A183" s="12" t="inlineStr">
        <is>
          <t>70-016</t>
        </is>
      </c>
      <c r="B183" s="13" t="inlineStr">
        <is>
          <t>Lorbeerblätter 100 g</t>
        </is>
      </c>
      <c r="C183" s="14" t="inlineStr">
        <is>
          <t>Küche – Trockenlager</t>
        </is>
      </c>
      <c r="D183" s="14" t="inlineStr">
        <is>
          <t>Beutel 100 g</t>
        </is>
      </c>
      <c r="E183" s="12" t="inlineStr">
        <is>
          <t>Beutel</t>
        </is>
      </c>
      <c r="F183" s="14" t="inlineStr">
        <is>
          <t>100 g/Beutel</t>
        </is>
      </c>
      <c r="G183" s="14" t="inlineStr">
        <is>
          <t>Lebensmittelgroßhandel</t>
        </is>
      </c>
      <c r="H183" s="14" t="inlineStr">
        <is>
          <t>Trockenlager</t>
        </is>
      </c>
      <c r="I183" s="14" t="inlineStr"/>
      <c r="K183">
        <f>IF($B183="",0,IF(Suche!$B$4="",1,IF(ISNUMBER(SEARCH(Suche!$B$4,$B183&amp;" "&amp;$C183&amp;" "&amp;$G183)),1,0)))</f>
        <v/>
      </c>
      <c r="L183">
        <f>IF($K183=0,"",SUM($K$5:$K183))</f>
        <v/>
      </c>
    </row>
    <row r="184">
      <c r="A184" s="15" t="inlineStr">
        <is>
          <t>71-022</t>
        </is>
      </c>
      <c r="B184" s="16" t="inlineStr">
        <is>
          <t>Mais 2,5 kg</t>
        </is>
      </c>
      <c r="C184" s="17" t="inlineStr">
        <is>
          <t>Küche – Konserven &amp; Saucen</t>
        </is>
      </c>
      <c r="D184" s="17" t="inlineStr">
        <is>
          <t>Dose 2,5 kg</t>
        </is>
      </c>
      <c r="E184" s="15" t="inlineStr">
        <is>
          <t>Dose</t>
        </is>
      </c>
      <c r="F184" s="17" t="inlineStr">
        <is>
          <t>2,5 kg/Dose</t>
        </is>
      </c>
      <c r="G184" s="17" t="inlineStr">
        <is>
          <t>Lebensmittelgroßhandel</t>
        </is>
      </c>
      <c r="H184" s="17" t="inlineStr">
        <is>
          <t>Trockenlager</t>
        </is>
      </c>
      <c r="I184" s="17" t="inlineStr"/>
      <c r="K184">
        <f>IF($B184="",0,IF(Suche!$B$4="",1,IF(ISNUMBER(SEARCH(Suche!$B$4,$B184&amp;" "&amp;$C184&amp;" "&amp;$G184)),1,0)))</f>
        <v/>
      </c>
      <c r="L184">
        <f>IF($K184=0,"",SUM($K$5:$K184))</f>
        <v/>
      </c>
    </row>
    <row r="185">
      <c r="A185" s="12" t="inlineStr">
        <is>
          <t>45-005</t>
        </is>
      </c>
      <c r="B185" s="13" t="inlineStr">
        <is>
          <t>Malibu 0,7 l</t>
        </is>
      </c>
      <c r="C185" s="14" t="inlineStr">
        <is>
          <t>Spirituosen – Liköre</t>
        </is>
      </c>
      <c r="D185" s="14" t="inlineStr">
        <is>
          <t>Flasche 0,7 l</t>
        </is>
      </c>
      <c r="E185" s="12" t="inlineStr">
        <is>
          <t>Flasche</t>
        </is>
      </c>
      <c r="F185" s="14" t="inlineStr">
        <is>
          <t>1 Flasche</t>
        </is>
      </c>
      <c r="G185" s="14" t="inlineStr">
        <is>
          <t>Spirituosenhandel</t>
        </is>
      </c>
      <c r="H185" s="14" t="inlineStr">
        <is>
          <t>Keller</t>
        </is>
      </c>
      <c r="I185" s="14" t="inlineStr"/>
      <c r="K185">
        <f>IF($B185="",0,IF(Suche!$B$4="",1,IF(ISNUMBER(SEARCH(Suche!$B$4,$B185&amp;" "&amp;$C185&amp;" "&amp;$G185)),1,0)))</f>
        <v/>
      </c>
      <c r="L185">
        <f>IF($K185=0,"",SUM($K$5:$K185))</f>
        <v/>
      </c>
    </row>
    <row r="186">
      <c r="A186" s="15" t="inlineStr">
        <is>
          <t>12-005</t>
        </is>
      </c>
      <c r="B186" s="16" t="inlineStr">
        <is>
          <t>Maracujanektar 1,0 l Glas</t>
        </is>
      </c>
      <c r="C186" s="17" t="inlineStr">
        <is>
          <t>AFG – Säfte &amp; Nektare</t>
        </is>
      </c>
      <c r="D186" s="17" t="inlineStr">
        <is>
          <t>Kasten 6 × 1,0 l</t>
        </is>
      </c>
      <c r="E186" s="15" t="inlineStr">
        <is>
          <t>Flasche</t>
        </is>
      </c>
      <c r="F186" s="17" t="inlineStr">
        <is>
          <t>6 Flaschen/Kasten</t>
        </is>
      </c>
      <c r="G186" s="17" t="inlineStr">
        <is>
          <t>Getränkefachgroßhandel</t>
        </is>
      </c>
      <c r="H186" s="17" t="inlineStr">
        <is>
          <t>Getränkelager</t>
        </is>
      </c>
      <c r="I186" s="17" t="inlineStr"/>
      <c r="K186">
        <f>IF($B186="",0,IF(Suche!$B$4="",1,IF(ISNUMBER(SEARCH(Suche!$B$4,$B186&amp;" "&amp;$C186&amp;" "&amp;$G186)),1,0)))</f>
        <v/>
      </c>
      <c r="L186">
        <f>IF($K186=0,"",SUM($K$5:$K186))</f>
        <v/>
      </c>
    </row>
    <row r="187">
      <c r="A187" s="12" t="inlineStr">
        <is>
          <t>41-009</t>
        </is>
      </c>
      <c r="B187" s="13" t="inlineStr">
        <is>
          <t>Martini Bianco 0,75 l</t>
        </is>
      </c>
      <c r="C187" s="14" t="inlineStr">
        <is>
          <t>Spirituosen – Bitter &amp; Aperitif</t>
        </is>
      </c>
      <c r="D187" s="14" t="inlineStr">
        <is>
          <t>Flasche 0,75 l</t>
        </is>
      </c>
      <c r="E187" s="12" t="inlineStr">
        <is>
          <t>Flasche</t>
        </is>
      </c>
      <c r="F187" s="14" t="inlineStr">
        <is>
          <t>1 Flasche</t>
        </is>
      </c>
      <c r="G187" s="14" t="inlineStr">
        <is>
          <t>Spirituosenhandel</t>
        </is>
      </c>
      <c r="H187" s="14" t="inlineStr">
        <is>
          <t>Keller</t>
        </is>
      </c>
      <c r="I187" s="14" t="inlineStr"/>
      <c r="K187">
        <f>IF($B187="",0,IF(Suche!$B$4="",1,IF(ISNUMBER(SEARCH(Suche!$B$4,$B187&amp;" "&amp;$C187&amp;" "&amp;$G187)),1,0)))</f>
        <v/>
      </c>
      <c r="L187">
        <f>IF($K187=0,"",SUM($K$5:$K187))</f>
        <v/>
      </c>
    </row>
    <row r="188">
      <c r="A188" s="15" t="inlineStr">
        <is>
          <t>41-010</t>
        </is>
      </c>
      <c r="B188" s="16" t="inlineStr">
        <is>
          <t>Martini Rosso 0,75 l</t>
        </is>
      </c>
      <c r="C188" s="17" t="inlineStr">
        <is>
          <t>Spirituosen – Bitter &amp; Aperitif</t>
        </is>
      </c>
      <c r="D188" s="17" t="inlineStr">
        <is>
          <t>Flasche 0,75 l</t>
        </is>
      </c>
      <c r="E188" s="15" t="inlineStr">
        <is>
          <t>Flasche</t>
        </is>
      </c>
      <c r="F188" s="17" t="inlineStr">
        <is>
          <t>1 Flasche</t>
        </is>
      </c>
      <c r="G188" s="17" t="inlineStr">
        <is>
          <t>Spirituosenhandel</t>
        </is>
      </c>
      <c r="H188" s="17" t="inlineStr">
        <is>
          <t>Keller</t>
        </is>
      </c>
      <c r="I188" s="17" t="inlineStr"/>
      <c r="K188">
        <f>IF($B188="",0,IF(Suche!$B$4="",1,IF(ISNUMBER(SEARCH(Suche!$B$4,$B188&amp;" "&amp;$C188&amp;" "&amp;$G188)),1,0)))</f>
        <v/>
      </c>
      <c r="L188">
        <f>IF($K188=0,"",SUM($K$5:$K188))</f>
        <v/>
      </c>
    </row>
    <row r="189">
      <c r="A189" s="12" t="inlineStr">
        <is>
          <t>81-011</t>
        </is>
      </c>
      <c r="B189" s="13" t="inlineStr">
        <is>
          <t>Maschinenspülmittel 10 l</t>
        </is>
      </c>
      <c r="C189" s="14" t="inlineStr">
        <is>
          <t>Housekeeping – Reinigung</t>
        </is>
      </c>
      <c r="D189" s="14" t="inlineStr">
        <is>
          <t>Kanister 10 l</t>
        </is>
      </c>
      <c r="E189" s="12" t="inlineStr">
        <is>
          <t>Kanister</t>
        </is>
      </c>
      <c r="F189" s="14" t="inlineStr">
        <is>
          <t>10 l/Kanister</t>
        </is>
      </c>
      <c r="G189" s="14" t="inlineStr">
        <is>
          <t>Hygiene- &amp; Reinigungsbedarf</t>
        </is>
      </c>
      <c r="H189" s="14" t="inlineStr">
        <is>
          <t>Housekeeping</t>
        </is>
      </c>
      <c r="I189" s="14" t="inlineStr"/>
      <c r="K189">
        <f>IF($B189="",0,IF(Suche!$B$4="",1,IF(ISNUMBER(SEARCH(Suche!$B$4,$B189&amp;" "&amp;$C189&amp;" "&amp;$G189)),1,0)))</f>
        <v/>
      </c>
      <c r="L189">
        <f>IF($K189=0,"",SUM($K$5:$K189))</f>
        <v/>
      </c>
    </row>
    <row r="190">
      <c r="A190" s="15" t="inlineStr">
        <is>
          <t>71-010</t>
        </is>
      </c>
      <c r="B190" s="16" t="inlineStr">
        <is>
          <t>Mayonnaise 10 kg</t>
        </is>
      </c>
      <c r="C190" s="17" t="inlineStr">
        <is>
          <t>Küche – Konserven &amp; Saucen</t>
        </is>
      </c>
      <c r="D190" s="17" t="inlineStr">
        <is>
          <t>Eimer 10 kg</t>
        </is>
      </c>
      <c r="E190" s="15" t="inlineStr">
        <is>
          <t>Eimer</t>
        </is>
      </c>
      <c r="F190" s="17" t="inlineStr">
        <is>
          <t>10 kg/Eimer</t>
        </is>
      </c>
      <c r="G190" s="17" t="inlineStr">
        <is>
          <t>Lebensmittelgroßhandel</t>
        </is>
      </c>
      <c r="H190" s="17" t="inlineStr">
        <is>
          <t>Trockenlager</t>
        </is>
      </c>
      <c r="I190" s="17" t="inlineStr"/>
      <c r="K190">
        <f>IF($B190="",0,IF(Suche!$B$4="",1,IF(ISNUMBER(SEARCH(Suche!$B$4,$B190&amp;" "&amp;$C190&amp;" "&amp;$G190)),1,0)))</f>
        <v/>
      </c>
      <c r="L190">
        <f>IF($K190=0,"",SUM($K$5:$K190))</f>
        <v/>
      </c>
    </row>
    <row r="191">
      <c r="A191" s="12" t="inlineStr">
        <is>
          <t>32-007</t>
        </is>
      </c>
      <c r="B191" s="13" t="inlineStr">
        <is>
          <t>Merlot 0,75 l</t>
        </is>
      </c>
      <c r="C191" s="14" t="inlineStr">
        <is>
          <t>Wein – Rot</t>
        </is>
      </c>
      <c r="D191" s="14" t="inlineStr">
        <is>
          <t>Karton 6 × 0,75 l</t>
        </is>
      </c>
      <c r="E191" s="12" t="inlineStr">
        <is>
          <t>Flasche</t>
        </is>
      </c>
      <c r="F191" s="14" t="inlineStr">
        <is>
          <t>6 Flaschen/Karton</t>
        </is>
      </c>
      <c r="G191" s="14" t="inlineStr">
        <is>
          <t>Weinhandel</t>
        </is>
      </c>
      <c r="H191" s="14" t="inlineStr">
        <is>
          <t>Weinkeller</t>
        </is>
      </c>
      <c r="I191" s="14" t="inlineStr"/>
      <c r="K191">
        <f>IF($B191="",0,IF(Suche!$B$4="",1,IF(ISNUMBER(SEARCH(Suche!$B$4,$B191&amp;" "&amp;$C191&amp;" "&amp;$G191)),1,0)))</f>
        <v/>
      </c>
      <c r="L191">
        <f>IF($K191=0,"",SUM($K$5:$K191))</f>
        <v/>
      </c>
    </row>
    <row r="192">
      <c r="A192" s="15" t="inlineStr">
        <is>
          <t>11-011</t>
        </is>
      </c>
      <c r="B192" s="16" t="inlineStr">
        <is>
          <t>Mezzo Mix 0,2 l Glas</t>
        </is>
      </c>
      <c r="C192" s="17" t="inlineStr">
        <is>
          <t>AFG – Limonaden</t>
        </is>
      </c>
      <c r="D192" s="17" t="inlineStr">
        <is>
          <t>Kasten 24 × 0,2 l</t>
        </is>
      </c>
      <c r="E192" s="15" t="inlineStr">
        <is>
          <t>Flasche</t>
        </is>
      </c>
      <c r="F192" s="17" t="inlineStr">
        <is>
          <t>24 Flaschen/Kasten</t>
        </is>
      </c>
      <c r="G192" s="17" t="inlineStr">
        <is>
          <t>Getränkefachgroßhandel</t>
        </is>
      </c>
      <c r="H192" s="17" t="inlineStr">
        <is>
          <t>Getränkelager</t>
        </is>
      </c>
      <c r="I192" s="17" t="inlineStr"/>
      <c r="K192">
        <f>IF($B192="",0,IF(Suche!$B$4="",1,IF(ISNUMBER(SEARCH(Suche!$B$4,$B192&amp;" "&amp;$C192&amp;" "&amp;$G192)),1,0)))</f>
        <v/>
      </c>
      <c r="L192">
        <f>IF($K192=0,"",SUM($K$5:$K192))</f>
        <v/>
      </c>
    </row>
    <row r="193">
      <c r="A193" s="12" t="inlineStr">
        <is>
          <t>11-012</t>
        </is>
      </c>
      <c r="B193" s="13" t="inlineStr">
        <is>
          <t>Mezzo Mix 0,33 l Glas</t>
        </is>
      </c>
      <c r="C193" s="14" t="inlineStr">
        <is>
          <t>AFG – Limonaden</t>
        </is>
      </c>
      <c r="D193" s="14" t="inlineStr">
        <is>
          <t>Kasten 24 × 0,33 l</t>
        </is>
      </c>
      <c r="E193" s="12" t="inlineStr">
        <is>
          <t>Flasche</t>
        </is>
      </c>
      <c r="F193" s="14" t="inlineStr">
        <is>
          <t>24 Flaschen/Kasten</t>
        </is>
      </c>
      <c r="G193" s="14" t="inlineStr">
        <is>
          <t>Getränkefachgroßhandel</t>
        </is>
      </c>
      <c r="H193" s="14" t="inlineStr">
        <is>
          <t>Getränkelager</t>
        </is>
      </c>
      <c r="I193" s="14" t="inlineStr"/>
      <c r="K193">
        <f>IF($B193="",0,IF(Suche!$B$4="",1,IF(ISNUMBER(SEARCH(Suche!$B$4,$B193&amp;" "&amp;$C193&amp;" "&amp;$G193)),1,0)))</f>
        <v/>
      </c>
      <c r="L193">
        <f>IF($K193=0,"",SUM($K$5:$K193))</f>
        <v/>
      </c>
    </row>
    <row r="194">
      <c r="A194" s="15" t="inlineStr">
        <is>
          <t>81-015</t>
        </is>
      </c>
      <c r="B194" s="16" t="inlineStr">
        <is>
          <t>Mikrofasertücher</t>
        </is>
      </c>
      <c r="C194" s="17" t="inlineStr">
        <is>
          <t>Housekeeping – Reinigung</t>
        </is>
      </c>
      <c r="D194" s="17" t="inlineStr">
        <is>
          <t>Packung 10 Stück</t>
        </is>
      </c>
      <c r="E194" s="15" t="inlineStr">
        <is>
          <t>Packung</t>
        </is>
      </c>
      <c r="F194" s="17" t="inlineStr">
        <is>
          <t>10 Stück/Packung</t>
        </is>
      </c>
      <c r="G194" s="17" t="inlineStr">
        <is>
          <t>Hygiene- &amp; Reinigungsbedarf</t>
        </is>
      </c>
      <c r="H194" s="17" t="inlineStr">
        <is>
          <t>Housekeeping</t>
        </is>
      </c>
      <c r="I194" s="17" t="inlineStr"/>
      <c r="K194">
        <f>IF($B194="",0,IF(Suche!$B$4="",1,IF(ISNUMBER(SEARCH(Suche!$B$4,$B194&amp;" "&amp;$C194&amp;" "&amp;$G194)),1,0)))</f>
        <v/>
      </c>
      <c r="L194">
        <f>IF($K194=0,"",SUM($K$5:$K194))</f>
        <v/>
      </c>
    </row>
    <row r="195">
      <c r="A195" s="12" t="inlineStr">
        <is>
          <t>60-007</t>
        </is>
      </c>
      <c r="B195" s="13" t="inlineStr">
        <is>
          <t>Minze frisch</t>
        </is>
      </c>
      <c r="C195" s="14" t="inlineStr">
        <is>
          <t>Bar – Zubehör &amp; Frischware</t>
        </is>
      </c>
      <c r="D195" s="14" t="inlineStr">
        <is>
          <t>Bund</t>
        </is>
      </c>
      <c r="E195" s="12" t="inlineStr">
        <is>
          <t>Bund</t>
        </is>
      </c>
      <c r="F195" s="14" t="inlineStr">
        <is>
          <t>1 Bund</t>
        </is>
      </c>
      <c r="G195" s="14" t="inlineStr">
        <is>
          <t>Lebensmittelgroßhandel</t>
        </is>
      </c>
      <c r="H195" s="14" t="inlineStr">
        <is>
          <t>Bar</t>
        </is>
      </c>
      <c r="I195" s="14" t="inlineStr"/>
      <c r="K195">
        <f>IF($B195="",0,IF(Suche!$B$4="",1,IF(ISNUMBER(SEARCH(Suche!$B$4,$B195&amp;" "&amp;$C195&amp;" "&amp;$G195)),1,0)))</f>
        <v/>
      </c>
      <c r="L195">
        <f>IF($K195=0,"",SUM($K$5:$K195))</f>
        <v/>
      </c>
    </row>
    <row r="196">
      <c r="A196" s="15" t="inlineStr">
        <is>
          <t>40-004</t>
        </is>
      </c>
      <c r="B196" s="16" t="inlineStr">
        <is>
          <t>Mirabellenwasser 0,7 l</t>
        </is>
      </c>
      <c r="C196" s="17" t="inlineStr">
        <is>
          <t>Spirituosen – Obstbrände</t>
        </is>
      </c>
      <c r="D196" s="17" t="inlineStr">
        <is>
          <t>Flasche 0,7 l</t>
        </is>
      </c>
      <c r="E196" s="15" t="inlineStr">
        <is>
          <t>Flasche</t>
        </is>
      </c>
      <c r="F196" s="17" t="inlineStr">
        <is>
          <t>1 Flasche</t>
        </is>
      </c>
      <c r="G196" s="17" t="inlineStr">
        <is>
          <t>Spirituosenhandel</t>
        </is>
      </c>
      <c r="H196" s="17" t="inlineStr">
        <is>
          <t>Keller</t>
        </is>
      </c>
      <c r="I196" s="17" t="inlineStr"/>
      <c r="K196">
        <f>IF($B196="",0,IF(Suche!$B$4="",1,IF(ISNUMBER(SEARCH(Suche!$B$4,$B196&amp;" "&amp;$C196&amp;" "&amp;$G196)),1,0)))</f>
        <v/>
      </c>
      <c r="L196">
        <f>IF($K196=0,"",SUM($K$5:$K196))</f>
        <v/>
      </c>
    </row>
    <row r="197">
      <c r="A197" s="12" t="inlineStr">
        <is>
          <t>81-005</t>
        </is>
      </c>
      <c r="B197" s="13" t="inlineStr">
        <is>
          <t>Möbelpolitur 500 ml</t>
        </is>
      </c>
      <c r="C197" s="14" t="inlineStr">
        <is>
          <t>Housekeeping – Reinigung</t>
        </is>
      </c>
      <c r="D197" s="14" t="inlineStr">
        <is>
          <t>Flasche 500 ml</t>
        </is>
      </c>
      <c r="E197" s="12" t="inlineStr">
        <is>
          <t>Flasche</t>
        </is>
      </c>
      <c r="F197" s="14" t="inlineStr">
        <is>
          <t>500 ml/Flasche</t>
        </is>
      </c>
      <c r="G197" s="14" t="inlineStr">
        <is>
          <t>Hygiene- &amp; Reinigungsbedarf</t>
        </is>
      </c>
      <c r="H197" s="14" t="inlineStr">
        <is>
          <t>Housekeeping</t>
        </is>
      </c>
      <c r="I197" s="14" t="inlineStr"/>
      <c r="K197">
        <f>IF($B197="",0,IF(Suche!$B$4="",1,IF(ISNUMBER(SEARCH(Suche!$B$4,$B197&amp;" "&amp;$C197&amp;" "&amp;$G197)),1,0)))</f>
        <v/>
      </c>
      <c r="L197">
        <f>IF($K197=0,"",SUM($K$5:$K197))</f>
        <v/>
      </c>
    </row>
    <row r="198">
      <c r="A198" s="15" t="inlineStr">
        <is>
          <t>33-008</t>
        </is>
      </c>
      <c r="B198" s="16" t="inlineStr">
        <is>
          <t>Moët &amp; Chandon Impérial Brut 0,75 l</t>
        </is>
      </c>
      <c r="C198" s="17" t="inlineStr">
        <is>
          <t>Sekt &amp; Champagner</t>
        </is>
      </c>
      <c r="D198" s="17" t="inlineStr">
        <is>
          <t>Karton 6 × 0,75 l</t>
        </is>
      </c>
      <c r="E198" s="15" t="inlineStr">
        <is>
          <t>Flasche</t>
        </is>
      </c>
      <c r="F198" s="17" t="inlineStr">
        <is>
          <t>6 Flaschen/Karton</t>
        </is>
      </c>
      <c r="G198" s="17" t="inlineStr">
        <is>
          <t>Weinhandel</t>
        </is>
      </c>
      <c r="H198" s="17" t="inlineStr">
        <is>
          <t>Weinkeller</t>
        </is>
      </c>
      <c r="I198" s="17" t="inlineStr"/>
      <c r="K198">
        <f>IF($B198="",0,IF(Suche!$B$4="",1,IF(ISNUMBER(SEARCH(Suche!$B$4,$B198&amp;" "&amp;$C198&amp;" "&amp;$G198)),1,0)))</f>
        <v/>
      </c>
      <c r="L198">
        <f>IF($K198=0,"",SUM($K$5:$K198))</f>
        <v/>
      </c>
    </row>
    <row r="199">
      <c r="A199" s="12" t="inlineStr">
        <is>
          <t>42-001</t>
        </is>
      </c>
      <c r="B199" s="13" t="inlineStr">
        <is>
          <t>Monkey 47 Schwarzwald Dry Gin 0,5 l</t>
        </is>
      </c>
      <c r="C199" s="14" t="inlineStr">
        <is>
          <t>Spirituosen – Gin &amp; Wodka</t>
        </is>
      </c>
      <c r="D199" s="14" t="inlineStr">
        <is>
          <t>Flasche 0,5 l</t>
        </is>
      </c>
      <c r="E199" s="12" t="inlineStr">
        <is>
          <t>Flasche</t>
        </is>
      </c>
      <c r="F199" s="14" t="inlineStr">
        <is>
          <t>1 Flasche</t>
        </is>
      </c>
      <c r="G199" s="14" t="inlineStr">
        <is>
          <t>Spirituosenhandel</t>
        </is>
      </c>
      <c r="H199" s="14" t="inlineStr">
        <is>
          <t>Keller</t>
        </is>
      </c>
      <c r="I199" s="14" t="inlineStr"/>
      <c r="K199">
        <f>IF($B199="",0,IF(Suche!$B$4="",1,IF(ISNUMBER(SEARCH(Suche!$B$4,$B199&amp;" "&amp;$C199&amp;" "&amp;$G199)),1,0)))</f>
        <v/>
      </c>
      <c r="L199">
        <f>IF($K199=0,"",SUM($K$5:$K199))</f>
        <v/>
      </c>
    </row>
    <row r="200">
      <c r="A200" s="15" t="inlineStr">
        <is>
          <t>32-011</t>
        </is>
      </c>
      <c r="B200" s="16" t="inlineStr">
        <is>
          <t>Montepulciano d'Abruzzo DOC 0,75 l</t>
        </is>
      </c>
      <c r="C200" s="17" t="inlineStr">
        <is>
          <t>Wein – Rot</t>
        </is>
      </c>
      <c r="D200" s="17" t="inlineStr">
        <is>
          <t>Karton 6 × 0,75 l</t>
        </is>
      </c>
      <c r="E200" s="15" t="inlineStr">
        <is>
          <t>Flasche</t>
        </is>
      </c>
      <c r="F200" s="17" t="inlineStr">
        <is>
          <t>6 Flaschen/Karton</t>
        </is>
      </c>
      <c r="G200" s="17" t="inlineStr">
        <is>
          <t>Weinhandel</t>
        </is>
      </c>
      <c r="H200" s="17" t="inlineStr">
        <is>
          <t>Weinkeller</t>
        </is>
      </c>
      <c r="I200" s="17" t="inlineStr"/>
      <c r="K200">
        <f>IF($B200="",0,IF(Suche!$B$4="",1,IF(ISNUMBER(SEARCH(Suche!$B$4,$B200&amp;" "&amp;$C200&amp;" "&amp;$G200)),1,0)))</f>
        <v/>
      </c>
      <c r="L200">
        <f>IF($K200=0,"",SUM($K$5:$K200))</f>
        <v/>
      </c>
    </row>
    <row r="201">
      <c r="A201" s="12" t="inlineStr">
        <is>
          <t>72-017</t>
        </is>
      </c>
      <c r="B201" s="13" t="inlineStr">
        <is>
          <t>Mozzarella 125 g</t>
        </is>
      </c>
      <c r="C201" s="14" t="inlineStr">
        <is>
          <t>Küche – Kühlhaus</t>
        </is>
      </c>
      <c r="D201" s="14" t="inlineStr">
        <is>
          <t>Karton 20 × 125 g</t>
        </is>
      </c>
      <c r="E201" s="12" t="inlineStr">
        <is>
          <t>Stück</t>
        </is>
      </c>
      <c r="F201" s="14" t="inlineStr">
        <is>
          <t>20 Stück/Karton</t>
        </is>
      </c>
      <c r="G201" s="14" t="inlineStr">
        <is>
          <t>Lebensmittelgroßhandel</t>
        </is>
      </c>
      <c r="H201" s="14" t="inlineStr">
        <is>
          <t>Kühlhaus</t>
        </is>
      </c>
      <c r="I201" s="14" t="inlineStr"/>
      <c r="K201">
        <f>IF($B201="",0,IF(Suche!$B$4="",1,IF(ISNUMBER(SEARCH(Suche!$B$4,$B201&amp;" "&amp;$C201&amp;" "&amp;$G201)),1,0)))</f>
        <v/>
      </c>
      <c r="L201">
        <f>IF($K201=0,"",SUM($K$5:$K201))</f>
        <v/>
      </c>
    </row>
    <row r="202">
      <c r="A202" s="15" t="inlineStr">
        <is>
          <t>81-016</t>
        </is>
      </c>
      <c r="B202" s="16" t="inlineStr">
        <is>
          <t>Müllbeutel 120 l</t>
        </is>
      </c>
      <c r="C202" s="17" t="inlineStr">
        <is>
          <t>Housekeeping – Reinigung</t>
        </is>
      </c>
      <c r="D202" s="17" t="inlineStr">
        <is>
          <t>Rolle 25 Stück</t>
        </is>
      </c>
      <c r="E202" s="15" t="inlineStr">
        <is>
          <t>Rolle</t>
        </is>
      </c>
      <c r="F202" s="17" t="inlineStr">
        <is>
          <t>25 Beutel/Rolle</t>
        </is>
      </c>
      <c r="G202" s="17" t="inlineStr">
        <is>
          <t>Hygiene- &amp; Reinigungsbedarf</t>
        </is>
      </c>
      <c r="H202" s="17" t="inlineStr">
        <is>
          <t>Housekeeping</t>
        </is>
      </c>
      <c r="I202" s="17" t="inlineStr"/>
      <c r="K202">
        <f>IF($B202="",0,IF(Suche!$B$4="",1,IF(ISNUMBER(SEARCH(Suche!$B$4,$B202&amp;" "&amp;$C202&amp;" "&amp;$G202)),1,0)))</f>
        <v/>
      </c>
      <c r="L202">
        <f>IF($K202=0,"",SUM($K$5:$K202))</f>
        <v/>
      </c>
    </row>
    <row r="203">
      <c r="A203" s="12" t="inlineStr">
        <is>
          <t>81-017</t>
        </is>
      </c>
      <c r="B203" s="13" t="inlineStr">
        <is>
          <t>Müllbeutel 60 l</t>
        </is>
      </c>
      <c r="C203" s="14" t="inlineStr">
        <is>
          <t>Housekeeping – Reinigung</t>
        </is>
      </c>
      <c r="D203" s="14" t="inlineStr">
        <is>
          <t>Rolle 25 Stück</t>
        </is>
      </c>
      <c r="E203" s="12" t="inlineStr">
        <is>
          <t>Rolle</t>
        </is>
      </c>
      <c r="F203" s="14" t="inlineStr">
        <is>
          <t>25 Beutel/Rolle</t>
        </is>
      </c>
      <c r="G203" s="14" t="inlineStr">
        <is>
          <t>Hygiene- &amp; Reinigungsbedarf</t>
        </is>
      </c>
      <c r="H203" s="14" t="inlineStr">
        <is>
          <t>Housekeeping</t>
        </is>
      </c>
      <c r="I203" s="14" t="inlineStr"/>
      <c r="K203">
        <f>IF($B203="",0,IF(Suche!$B$4="",1,IF(ISNUMBER(SEARCH(Suche!$B$4,$B203&amp;" "&amp;$C203&amp;" "&amp;$G203)),1,0)))</f>
        <v/>
      </c>
      <c r="L203">
        <f>IF($K203=0,"",SUM($K$5:$K203))</f>
        <v/>
      </c>
    </row>
    <row r="204">
      <c r="A204" s="15" t="inlineStr">
        <is>
          <t>30-002</t>
        </is>
      </c>
      <c r="B204" s="16" t="inlineStr">
        <is>
          <t>Müller-Thurgau QbA trocken 0,75 l</t>
        </is>
      </c>
      <c r="C204" s="17" t="inlineStr">
        <is>
          <t>Wein – Weiß</t>
        </is>
      </c>
      <c r="D204" s="17" t="inlineStr">
        <is>
          <t>Karton 6 × 0,75 l</t>
        </is>
      </c>
      <c r="E204" s="15" t="inlineStr">
        <is>
          <t>Flasche</t>
        </is>
      </c>
      <c r="F204" s="17" t="inlineStr">
        <is>
          <t>6 Flaschen/Karton</t>
        </is>
      </c>
      <c r="G204" s="17" t="inlineStr">
        <is>
          <t>Weinhandel</t>
        </is>
      </c>
      <c r="H204" s="17" t="inlineStr">
        <is>
          <t>Weinkeller</t>
        </is>
      </c>
      <c r="I204" s="17" t="inlineStr"/>
      <c r="K204">
        <f>IF($B204="",0,IF(Suche!$B$4="",1,IF(ISNUMBER(SEARCH(Suche!$B$4,$B204&amp;" "&amp;$C204&amp;" "&amp;$G204)),1,0)))</f>
        <v/>
      </c>
      <c r="L204">
        <f>IF($K204=0,"",SUM($K$5:$K204))</f>
        <v/>
      </c>
    </row>
    <row r="205">
      <c r="A205" s="12" t="inlineStr">
        <is>
          <t>70-012</t>
        </is>
      </c>
      <c r="B205" s="13" t="inlineStr">
        <is>
          <t>Muskatnuss gemahlen 250 g</t>
        </is>
      </c>
      <c r="C205" s="14" t="inlineStr">
        <is>
          <t>Küche – Trockenlager</t>
        </is>
      </c>
      <c r="D205" s="14" t="inlineStr">
        <is>
          <t>Beutel 250 g</t>
        </is>
      </c>
      <c r="E205" s="12" t="inlineStr">
        <is>
          <t>Beutel</t>
        </is>
      </c>
      <c r="F205" s="14" t="inlineStr">
        <is>
          <t>250 g/Beutel</t>
        </is>
      </c>
      <c r="G205" s="14" t="inlineStr">
        <is>
          <t>Lebensmittelgroßhandel</t>
        </is>
      </c>
      <c r="H205" s="14" t="inlineStr">
        <is>
          <t>Trockenlager</t>
        </is>
      </c>
      <c r="I205" s="14" t="inlineStr"/>
      <c r="K205">
        <f>IF($B205="",0,IF(Suche!$B$4="",1,IF(ISNUMBER(SEARCH(Suche!$B$4,$B205&amp;" "&amp;$C205&amp;" "&amp;$G205)),1,0)))</f>
        <v/>
      </c>
      <c r="L205">
        <f>IF($K205=0,"",SUM($K$5:$K205))</f>
        <v/>
      </c>
    </row>
    <row r="206">
      <c r="A206" s="15" t="inlineStr">
        <is>
          <t>70-035</t>
        </is>
      </c>
      <c r="B206" s="16" t="inlineStr">
        <is>
          <t>Müsli 1 kg</t>
        </is>
      </c>
      <c r="C206" s="17" t="inlineStr">
        <is>
          <t>Küche – Trockenlager</t>
        </is>
      </c>
      <c r="D206" s="17" t="inlineStr">
        <is>
          <t>Packung 1 kg</t>
        </is>
      </c>
      <c r="E206" s="15" t="inlineStr">
        <is>
          <t>Packung</t>
        </is>
      </c>
      <c r="F206" s="17" t="inlineStr">
        <is>
          <t>1 kg/Packung</t>
        </is>
      </c>
      <c r="G206" s="17" t="inlineStr">
        <is>
          <t>Lebensmittelgroßhandel</t>
        </is>
      </c>
      <c r="H206" s="17" t="inlineStr">
        <is>
          <t>Trockenlager</t>
        </is>
      </c>
      <c r="I206" s="17" t="inlineStr"/>
      <c r="K206">
        <f>IF($B206="",0,IF(Suche!$B$4="",1,IF(ISNUMBER(SEARCH(Suche!$B$4,$B206&amp;" "&amp;$C206&amp;" "&amp;$G206)),1,0)))</f>
        <v/>
      </c>
      <c r="L206">
        <f>IF($K206=0,"",SUM($K$5:$K206))</f>
        <v/>
      </c>
    </row>
    <row r="207">
      <c r="A207" s="12" t="inlineStr">
        <is>
          <t>80-006</t>
        </is>
      </c>
      <c r="B207" s="13" t="inlineStr">
        <is>
          <t>Nähset</t>
        </is>
      </c>
      <c r="C207" s="14" t="inlineStr">
        <is>
          <t>Housekeeping – Gästeartikel</t>
        </is>
      </c>
      <c r="D207" s="14" t="inlineStr">
        <is>
          <t>Karton 500 Stück</t>
        </is>
      </c>
      <c r="E207" s="12" t="inlineStr">
        <is>
          <t>Stück</t>
        </is>
      </c>
      <c r="F207" s="14" t="inlineStr">
        <is>
          <t>500 Stück/Karton</t>
        </is>
      </c>
      <c r="G207" s="14" t="inlineStr">
        <is>
          <t>Hygiene- &amp; Reinigungsbedarf</t>
        </is>
      </c>
      <c r="H207" s="14" t="inlineStr">
        <is>
          <t>Housekeeping</t>
        </is>
      </c>
      <c r="I207" s="14" t="inlineStr"/>
      <c r="K207">
        <f>IF($B207="",0,IF(Suche!$B$4="",1,IF(ISNUMBER(SEARCH(Suche!$B$4,$B207&amp;" "&amp;$C207&amp;" "&amp;$G207)),1,0)))</f>
        <v/>
      </c>
      <c r="L207">
        <f>IF($K207=0,"",SUM($K$5:$K207))</f>
        <v/>
      </c>
    </row>
    <row r="208">
      <c r="A208" s="15" t="inlineStr">
        <is>
          <t>72-010</t>
        </is>
      </c>
      <c r="B208" s="16" t="inlineStr">
        <is>
          <t>Naturjoghurt 1 kg</t>
        </is>
      </c>
      <c r="C208" s="17" t="inlineStr">
        <is>
          <t>Küche – Kühlhaus</t>
        </is>
      </c>
      <c r="D208" s="17" t="inlineStr">
        <is>
          <t>Becher 1 kg</t>
        </is>
      </c>
      <c r="E208" s="15" t="inlineStr">
        <is>
          <t>Stück</t>
        </is>
      </c>
      <c r="F208" s="17" t="inlineStr">
        <is>
          <t>1 Becher</t>
        </is>
      </c>
      <c r="G208" s="17" t="inlineStr">
        <is>
          <t>Lebensmittelgroßhandel</t>
        </is>
      </c>
      <c r="H208" s="17" t="inlineStr">
        <is>
          <t>Kühlhaus</t>
        </is>
      </c>
      <c r="I208" s="17" t="inlineStr"/>
      <c r="K208">
        <f>IF($B208="",0,IF(Suche!$B$4="",1,IF(ISNUMBER(SEARCH(Suche!$B$4,$B208&amp;" "&amp;$C208&amp;" "&amp;$G208)),1,0)))</f>
        <v/>
      </c>
      <c r="L208">
        <f>IF($K208=0,"",SUM($K$5:$K208))</f>
        <v/>
      </c>
    </row>
    <row r="209">
      <c r="A209" s="12" t="inlineStr">
        <is>
          <t>80-014</t>
        </is>
      </c>
      <c r="B209" s="13" t="inlineStr">
        <is>
          <t>Notizblock</t>
        </is>
      </c>
      <c r="C209" s="14" t="inlineStr">
        <is>
          <t>Housekeeping – Gästeartikel</t>
        </is>
      </c>
      <c r="D209" s="14" t="inlineStr">
        <is>
          <t>Karton 100 Stück</t>
        </is>
      </c>
      <c r="E209" s="12" t="inlineStr">
        <is>
          <t>Stück</t>
        </is>
      </c>
      <c r="F209" s="14" t="inlineStr">
        <is>
          <t>100 Stück/Karton</t>
        </is>
      </c>
      <c r="G209" s="14" t="inlineStr">
        <is>
          <t>Hygiene- &amp; Reinigungsbedarf</t>
        </is>
      </c>
      <c r="H209" s="14" t="inlineStr">
        <is>
          <t>Housekeeping</t>
        </is>
      </c>
      <c r="I209" s="14" t="inlineStr"/>
      <c r="K209">
        <f>IF($B209="",0,IF(Suche!$B$4="",1,IF(ISNUMBER(SEARCH(Suche!$B$4,$B209&amp;" "&amp;$C209&amp;" "&amp;$G209)),1,0)))</f>
        <v/>
      </c>
      <c r="L209">
        <f>IF($K209=0,"",SUM($K$5:$K209))</f>
        <v/>
      </c>
    </row>
    <row r="210">
      <c r="A210" s="15" t="inlineStr">
        <is>
          <t>71-019</t>
        </is>
      </c>
      <c r="B210" s="16" t="inlineStr">
        <is>
          <t>Nuss-Nougat-Creme Portionen 25 g</t>
        </is>
      </c>
      <c r="C210" s="17" t="inlineStr">
        <is>
          <t>Küche – Konserven &amp; Saucen</t>
        </is>
      </c>
      <c r="D210" s="17" t="inlineStr">
        <is>
          <t>Karton 100 Stück</t>
        </is>
      </c>
      <c r="E210" s="15" t="inlineStr">
        <is>
          <t>Stück</t>
        </is>
      </c>
      <c r="F210" s="17" t="inlineStr">
        <is>
          <t>100 Portionen/Karton</t>
        </is>
      </c>
      <c r="G210" s="17" t="inlineStr">
        <is>
          <t>Lebensmittelgroßhandel</t>
        </is>
      </c>
      <c r="H210" s="17" t="inlineStr">
        <is>
          <t>Trockenlager</t>
        </is>
      </c>
      <c r="I210" s="17" t="inlineStr"/>
      <c r="K210">
        <f>IF($B210="",0,IF(Suche!$B$4="",1,IF(ISNUMBER(SEARCH(Suche!$B$4,$B210&amp;" "&amp;$C210&amp;" "&amp;$G210)),1,0)))</f>
        <v/>
      </c>
      <c r="L210">
        <f>IF($K210=0,"",SUM($K$5:$K210))</f>
        <v/>
      </c>
    </row>
    <row r="211">
      <c r="A211" s="12" t="inlineStr">
        <is>
          <t>40-007</t>
        </is>
      </c>
      <c r="B211" s="13" t="inlineStr">
        <is>
          <t>Obstler 0,7 l</t>
        </is>
      </c>
      <c r="C211" s="14" t="inlineStr">
        <is>
          <t>Spirituosen – Obstbrände</t>
        </is>
      </c>
      <c r="D211" s="14" t="inlineStr">
        <is>
          <t>Flasche 0,7 l</t>
        </is>
      </c>
      <c r="E211" s="12" t="inlineStr">
        <is>
          <t>Flasche</t>
        </is>
      </c>
      <c r="F211" s="14" t="inlineStr">
        <is>
          <t>1 Flasche</t>
        </is>
      </c>
      <c r="G211" s="14" t="inlineStr">
        <is>
          <t>Spirituosenhandel</t>
        </is>
      </c>
      <c r="H211" s="14" t="inlineStr">
        <is>
          <t>Keller</t>
        </is>
      </c>
      <c r="I211" s="14" t="inlineStr"/>
      <c r="K211">
        <f>IF($B211="",0,IF(Suche!$B$4="",1,IF(ISNUMBER(SEARCH(Suche!$B$4,$B211&amp;" "&amp;$C211&amp;" "&amp;$G211)),1,0)))</f>
        <v/>
      </c>
      <c r="L211">
        <f>IF($K211=0,"",SUM($K$5:$K211))</f>
        <v/>
      </c>
    </row>
    <row r="212">
      <c r="A212" s="15" t="inlineStr">
        <is>
          <t>60-004</t>
        </is>
      </c>
      <c r="B212" s="16" t="inlineStr">
        <is>
          <t>Oliven grün im Glas 720 ml</t>
        </is>
      </c>
      <c r="C212" s="17" t="inlineStr">
        <is>
          <t>Bar – Zubehör &amp; Frischware</t>
        </is>
      </c>
      <c r="D212" s="17" t="inlineStr">
        <is>
          <t>Glas 720 ml</t>
        </is>
      </c>
      <c r="E212" s="15" t="inlineStr">
        <is>
          <t>Glas</t>
        </is>
      </c>
      <c r="F212" s="17" t="inlineStr">
        <is>
          <t>1 Glas</t>
        </is>
      </c>
      <c r="G212" s="17" t="inlineStr">
        <is>
          <t>Lebensmittelgroßhandel</t>
        </is>
      </c>
      <c r="H212" s="17" t="inlineStr">
        <is>
          <t>Bar</t>
        </is>
      </c>
      <c r="I212" s="17" t="inlineStr"/>
      <c r="K212">
        <f>IF($B212="",0,IF(Suche!$B$4="",1,IF(ISNUMBER(SEARCH(Suche!$B$4,$B212&amp;" "&amp;$C212&amp;" "&amp;$G212)),1,0)))</f>
        <v/>
      </c>
      <c r="L212">
        <f>IF($K212=0,"",SUM($K$5:$K212))</f>
        <v/>
      </c>
    </row>
    <row r="213">
      <c r="A213" s="12" t="inlineStr">
        <is>
          <t>70-017</t>
        </is>
      </c>
      <c r="B213" s="13" t="inlineStr">
        <is>
          <t>Olivenöl extra vergine 5 l</t>
        </is>
      </c>
      <c r="C213" s="14" t="inlineStr">
        <is>
          <t>Küche – Trockenlager</t>
        </is>
      </c>
      <c r="D213" s="14" t="inlineStr">
        <is>
          <t>Kanister 5 l</t>
        </is>
      </c>
      <c r="E213" s="12" t="inlineStr">
        <is>
          <t>Kanister</t>
        </is>
      </c>
      <c r="F213" s="14" t="inlineStr">
        <is>
          <t>5 l/Kanister</t>
        </is>
      </c>
      <c r="G213" s="14" t="inlineStr">
        <is>
          <t>Lebensmittelgroßhandel</t>
        </is>
      </c>
      <c r="H213" s="14" t="inlineStr">
        <is>
          <t>Trockenlager</t>
        </is>
      </c>
      <c r="I213" s="14" t="inlineStr"/>
      <c r="K213">
        <f>IF($B213="",0,IF(Suche!$B$4="",1,IF(ISNUMBER(SEARCH(Suche!$B$4,$B213&amp;" "&amp;$C213&amp;" "&amp;$G213)),1,0)))</f>
        <v/>
      </c>
      <c r="L213">
        <f>IF($K213=0,"",SUM($K$5:$K213))</f>
        <v/>
      </c>
    </row>
    <row r="214">
      <c r="A214" s="15" t="inlineStr">
        <is>
          <t>12-001</t>
        </is>
      </c>
      <c r="B214" s="16" t="inlineStr">
        <is>
          <t>Orangensaft 1,0 l Glas</t>
        </is>
      </c>
      <c r="C214" s="17" t="inlineStr">
        <is>
          <t>AFG – Säfte &amp; Nektare</t>
        </is>
      </c>
      <c r="D214" s="17" t="inlineStr">
        <is>
          <t>Kasten 6 × 1,0 l</t>
        </is>
      </c>
      <c r="E214" s="15" t="inlineStr">
        <is>
          <t>Flasche</t>
        </is>
      </c>
      <c r="F214" s="17" t="inlineStr">
        <is>
          <t>6 Flaschen/Kasten</t>
        </is>
      </c>
      <c r="G214" s="17" t="inlineStr">
        <is>
          <t>Getränkefachgroßhandel</t>
        </is>
      </c>
      <c r="H214" s="17" t="inlineStr">
        <is>
          <t>Getränkelager</t>
        </is>
      </c>
      <c r="I214" s="17" t="inlineStr"/>
      <c r="K214">
        <f>IF($B214="",0,IF(Suche!$B$4="",1,IF(ISNUMBER(SEARCH(Suche!$B$4,$B214&amp;" "&amp;$C214&amp;" "&amp;$G214)),1,0)))</f>
        <v/>
      </c>
      <c r="L214">
        <f>IF($K214=0,"",SUM($K$5:$K214))</f>
        <v/>
      </c>
    </row>
    <row r="215">
      <c r="A215" s="12" t="inlineStr">
        <is>
          <t>70-014</t>
        </is>
      </c>
      <c r="B215" s="13" t="inlineStr">
        <is>
          <t>Oregano getrocknet 250 g</t>
        </is>
      </c>
      <c r="C215" s="14" t="inlineStr">
        <is>
          <t>Küche – Trockenlager</t>
        </is>
      </c>
      <c r="D215" s="14" t="inlineStr">
        <is>
          <t>Beutel 250 g</t>
        </is>
      </c>
      <c r="E215" s="12" t="inlineStr">
        <is>
          <t>Beutel</t>
        </is>
      </c>
      <c r="F215" s="14" t="inlineStr">
        <is>
          <t>250 g/Beutel</t>
        </is>
      </c>
      <c r="G215" s="14" t="inlineStr">
        <is>
          <t>Lebensmittelgroßhandel</t>
        </is>
      </c>
      <c r="H215" s="14" t="inlineStr">
        <is>
          <t>Trockenlager</t>
        </is>
      </c>
      <c r="I215" s="14" t="inlineStr"/>
      <c r="K215">
        <f>IF($B215="",0,IF(Suche!$B$4="",1,IF(ISNUMBER(SEARCH(Suche!$B$4,$B215&amp;" "&amp;$C215&amp;" "&amp;$G215)),1,0)))</f>
        <v/>
      </c>
      <c r="L215">
        <f>IF($K215=0,"",SUM($K$5:$K215))</f>
        <v/>
      </c>
    </row>
    <row r="216">
      <c r="A216" s="15" t="inlineStr">
        <is>
          <t>41-012</t>
        </is>
      </c>
      <c r="B216" s="16" t="inlineStr">
        <is>
          <t>Ouzo 0,7 l</t>
        </is>
      </c>
      <c r="C216" s="17" t="inlineStr">
        <is>
          <t>Spirituosen – Bitter &amp; Aperitif</t>
        </is>
      </c>
      <c r="D216" s="17" t="inlineStr">
        <is>
          <t>Flasche 0,7 l</t>
        </is>
      </c>
      <c r="E216" s="15" t="inlineStr">
        <is>
          <t>Flasche</t>
        </is>
      </c>
      <c r="F216" s="17" t="inlineStr">
        <is>
          <t>1 Flasche</t>
        </is>
      </c>
      <c r="G216" s="17" t="inlineStr">
        <is>
          <t>Spirituosenhandel</t>
        </is>
      </c>
      <c r="H216" s="17" t="inlineStr">
        <is>
          <t>Keller</t>
        </is>
      </c>
      <c r="I216" s="17" t="inlineStr"/>
      <c r="K216">
        <f>IF($B216="",0,IF(Suche!$B$4="",1,IF(ISNUMBER(SEARCH(Suche!$B$4,$B216&amp;" "&amp;$C216&amp;" "&amp;$G216)),1,0)))</f>
        <v/>
      </c>
      <c r="L216">
        <f>IF($K216=0,"",SUM($K$5:$K216))</f>
        <v/>
      </c>
    </row>
    <row r="217">
      <c r="A217" s="12" t="inlineStr">
        <is>
          <t>70-030</t>
        </is>
      </c>
      <c r="B217" s="13" t="inlineStr">
        <is>
          <t>Panko-Paniermehl 1 kg</t>
        </is>
      </c>
      <c r="C217" s="14" t="inlineStr">
        <is>
          <t>Küche – Trockenlager</t>
        </is>
      </c>
      <c r="D217" s="14" t="inlineStr">
        <is>
          <t>Packung 1 kg</t>
        </is>
      </c>
      <c r="E217" s="12" t="inlineStr">
        <is>
          <t>Packung</t>
        </is>
      </c>
      <c r="F217" s="14" t="inlineStr">
        <is>
          <t>1 kg/Packung</t>
        </is>
      </c>
      <c r="G217" s="14" t="inlineStr">
        <is>
          <t>Lebensmittelgroßhandel</t>
        </is>
      </c>
      <c r="H217" s="14" t="inlineStr">
        <is>
          <t>Trockenlager</t>
        </is>
      </c>
      <c r="I217" s="14" t="inlineStr"/>
      <c r="K217">
        <f>IF($B217="",0,IF(Suche!$B$4="",1,IF(ISNUMBER(SEARCH(Suche!$B$4,$B217&amp;" "&amp;$C217&amp;" "&amp;$G217)),1,0)))</f>
        <v/>
      </c>
      <c r="L217">
        <f>IF($K217=0,"",SUM($K$5:$K217))</f>
        <v/>
      </c>
    </row>
    <row r="218">
      <c r="A218" s="15" t="inlineStr">
        <is>
          <t>70-011</t>
        </is>
      </c>
      <c r="B218" s="16" t="inlineStr">
        <is>
          <t>Paprikapulver edelsüß 500 g</t>
        </is>
      </c>
      <c r="C218" s="17" t="inlineStr">
        <is>
          <t>Küche – Trockenlager</t>
        </is>
      </c>
      <c r="D218" s="17" t="inlineStr">
        <is>
          <t>Beutel 500 g</t>
        </is>
      </c>
      <c r="E218" s="15" t="inlineStr">
        <is>
          <t>Beutel</t>
        </is>
      </c>
      <c r="F218" s="17" t="inlineStr">
        <is>
          <t>500 g/Beutel</t>
        </is>
      </c>
      <c r="G218" s="17" t="inlineStr">
        <is>
          <t>Lebensmittelgroßhandel</t>
        </is>
      </c>
      <c r="H218" s="17" t="inlineStr">
        <is>
          <t>Trockenlager</t>
        </is>
      </c>
      <c r="I218" s="17" t="inlineStr"/>
      <c r="K218">
        <f>IF($B218="",0,IF(Suche!$B$4="",1,IF(ISNUMBER(SEARCH(Suche!$B$4,$B218&amp;" "&amp;$C218&amp;" "&amp;$G218)),1,0)))</f>
        <v/>
      </c>
      <c r="L218">
        <f>IF($K218=0,"",SUM($K$5:$K218))</f>
        <v/>
      </c>
    </row>
    <row r="219">
      <c r="A219" s="12" t="inlineStr">
        <is>
          <t>72-016</t>
        </is>
      </c>
      <c r="B219" s="13" t="inlineStr">
        <is>
          <t>Parmigiano Reggiano am Stück</t>
        </is>
      </c>
      <c r="C219" s="14" t="inlineStr">
        <is>
          <t>Küche – Kühlhaus</t>
        </is>
      </c>
      <c r="D219" s="14" t="inlineStr">
        <is>
          <t>Stück ca. 1 kg</t>
        </is>
      </c>
      <c r="E219" s="12" t="inlineStr">
        <is>
          <t>kg</t>
        </is>
      </c>
      <c r="F219" s="14" t="inlineStr">
        <is>
          <t>ca. 1 kg/Stück</t>
        </is>
      </c>
      <c r="G219" s="14" t="inlineStr">
        <is>
          <t>Lebensmittelgroßhandel</t>
        </is>
      </c>
      <c r="H219" s="14" t="inlineStr">
        <is>
          <t>Kühlhaus</t>
        </is>
      </c>
      <c r="I219" s="14" t="inlineStr"/>
      <c r="K219">
        <f>IF($B219="",0,IF(Suche!$B$4="",1,IF(ISNUMBER(SEARCH(Suche!$B$4,$B219&amp;" "&amp;$C219&amp;" "&amp;$G219)),1,0)))</f>
        <v/>
      </c>
      <c r="L219">
        <f>IF($K219=0,"",SUM($K$5:$K219))</f>
        <v/>
      </c>
    </row>
    <row r="220">
      <c r="A220" s="15" t="inlineStr">
        <is>
          <t>70-027</t>
        </is>
      </c>
      <c r="B220" s="16" t="inlineStr">
        <is>
          <t>Penne rigate 5 kg</t>
        </is>
      </c>
      <c r="C220" s="17" t="inlineStr">
        <is>
          <t>Küche – Trockenlager</t>
        </is>
      </c>
      <c r="D220" s="17" t="inlineStr">
        <is>
          <t>Karton 5 kg</t>
        </is>
      </c>
      <c r="E220" s="15" t="inlineStr">
        <is>
          <t>kg</t>
        </is>
      </c>
      <c r="F220" s="17" t="inlineStr">
        <is>
          <t>5 kg/Karton</t>
        </is>
      </c>
      <c r="G220" s="17" t="inlineStr">
        <is>
          <t>Lebensmittelgroßhandel</t>
        </is>
      </c>
      <c r="H220" s="17" t="inlineStr">
        <is>
          <t>Trockenlager</t>
        </is>
      </c>
      <c r="I220" s="17" t="inlineStr"/>
      <c r="K220">
        <f>IF($B220="",0,IF(Suche!$B$4="",1,IF(ISNUMBER(SEARCH(Suche!$B$4,$B220&amp;" "&amp;$C220&amp;" "&amp;$G220)),1,0)))</f>
        <v/>
      </c>
      <c r="L220">
        <f>IF($K220=0,"",SUM($K$5:$K220))</f>
        <v/>
      </c>
    </row>
    <row r="221">
      <c r="A221" s="12" t="inlineStr">
        <is>
          <t>10-001</t>
        </is>
      </c>
      <c r="B221" s="13" t="inlineStr">
        <is>
          <t>Peterstaler Classic 0,25 l Glas</t>
        </is>
      </c>
      <c r="C221" s="14" t="inlineStr">
        <is>
          <t>AFG – Mineralwasser</t>
        </is>
      </c>
      <c r="D221" s="14" t="inlineStr">
        <is>
          <t>Kasten 24 × 0,25 l</t>
        </is>
      </c>
      <c r="E221" s="12" t="inlineStr">
        <is>
          <t>Flasche</t>
        </is>
      </c>
      <c r="F221" s="14" t="inlineStr">
        <is>
          <t>24 Flaschen/Kasten</t>
        </is>
      </c>
      <c r="G221" s="14" t="inlineStr">
        <is>
          <t>Getränkefachgroßhandel</t>
        </is>
      </c>
      <c r="H221" s="14" t="inlineStr">
        <is>
          <t>Getränkelager</t>
        </is>
      </c>
      <c r="I221" s="14" t="inlineStr"/>
      <c r="K221">
        <f>IF($B221="",0,IF(Suche!$B$4="",1,IF(ISNUMBER(SEARCH(Suche!$B$4,$B221&amp;" "&amp;$C221&amp;" "&amp;$G221)),1,0)))</f>
        <v/>
      </c>
      <c r="L221">
        <f>IF($K221=0,"",SUM($K$5:$K221))</f>
        <v/>
      </c>
    </row>
    <row r="222">
      <c r="A222" s="15" t="inlineStr">
        <is>
          <t>10-002</t>
        </is>
      </c>
      <c r="B222" s="16" t="inlineStr">
        <is>
          <t>Peterstaler Classic 0,75 l Glas</t>
        </is>
      </c>
      <c r="C222" s="17" t="inlineStr">
        <is>
          <t>AFG – Mineralwasser</t>
        </is>
      </c>
      <c r="D222" s="17" t="inlineStr">
        <is>
          <t>Kasten 12 × 0,75 l</t>
        </is>
      </c>
      <c r="E222" s="15" t="inlineStr">
        <is>
          <t>Flasche</t>
        </is>
      </c>
      <c r="F222" s="17" t="inlineStr">
        <is>
          <t>12 Flaschen/Kasten</t>
        </is>
      </c>
      <c r="G222" s="17" t="inlineStr">
        <is>
          <t>Getränkefachgroßhandel</t>
        </is>
      </c>
      <c r="H222" s="17" t="inlineStr">
        <is>
          <t>Getränkelager</t>
        </is>
      </c>
      <c r="I222" s="17" t="inlineStr"/>
      <c r="K222">
        <f>IF($B222="",0,IF(Suche!$B$4="",1,IF(ISNUMBER(SEARCH(Suche!$B$4,$B222&amp;" "&amp;$C222&amp;" "&amp;$G222)),1,0)))</f>
        <v/>
      </c>
      <c r="L222">
        <f>IF($K222=0,"",SUM($K$5:$K222))</f>
        <v/>
      </c>
    </row>
    <row r="223">
      <c r="A223" s="12" t="inlineStr">
        <is>
          <t>10-003</t>
        </is>
      </c>
      <c r="B223" s="13" t="inlineStr">
        <is>
          <t>Peterstaler Medium 0,25 l Glas</t>
        </is>
      </c>
      <c r="C223" s="14" t="inlineStr">
        <is>
          <t>AFG – Mineralwasser</t>
        </is>
      </c>
      <c r="D223" s="14" t="inlineStr">
        <is>
          <t>Kasten 24 × 0,25 l</t>
        </is>
      </c>
      <c r="E223" s="12" t="inlineStr">
        <is>
          <t>Flasche</t>
        </is>
      </c>
      <c r="F223" s="14" t="inlineStr">
        <is>
          <t>24 Flaschen/Kasten</t>
        </is>
      </c>
      <c r="G223" s="14" t="inlineStr">
        <is>
          <t>Getränkefachgroßhandel</t>
        </is>
      </c>
      <c r="H223" s="14" t="inlineStr">
        <is>
          <t>Getränkelager</t>
        </is>
      </c>
      <c r="I223" s="14" t="inlineStr"/>
      <c r="K223">
        <f>IF($B223="",0,IF(Suche!$B$4="",1,IF(ISNUMBER(SEARCH(Suche!$B$4,$B223&amp;" "&amp;$C223&amp;" "&amp;$G223)),1,0)))</f>
        <v/>
      </c>
      <c r="L223">
        <f>IF($K223=0,"",SUM($K$5:$K223))</f>
        <v/>
      </c>
    </row>
    <row r="224">
      <c r="A224" s="15" t="inlineStr">
        <is>
          <t>10-004</t>
        </is>
      </c>
      <c r="B224" s="16" t="inlineStr">
        <is>
          <t>Peterstaler Medium 0,75 l Glas</t>
        </is>
      </c>
      <c r="C224" s="17" t="inlineStr">
        <is>
          <t>AFG – Mineralwasser</t>
        </is>
      </c>
      <c r="D224" s="17" t="inlineStr">
        <is>
          <t>Kasten 12 × 0,75 l</t>
        </is>
      </c>
      <c r="E224" s="15" t="inlineStr">
        <is>
          <t>Flasche</t>
        </is>
      </c>
      <c r="F224" s="17" t="inlineStr">
        <is>
          <t>12 Flaschen/Kasten</t>
        </is>
      </c>
      <c r="G224" s="17" t="inlineStr">
        <is>
          <t>Getränkefachgroßhandel</t>
        </is>
      </c>
      <c r="H224" s="17" t="inlineStr">
        <is>
          <t>Getränkelager</t>
        </is>
      </c>
      <c r="I224" s="17" t="inlineStr"/>
      <c r="K224">
        <f>IF($B224="",0,IF(Suche!$B$4="",1,IF(ISNUMBER(SEARCH(Suche!$B$4,$B224&amp;" "&amp;$C224&amp;" "&amp;$G224)),1,0)))</f>
        <v/>
      </c>
      <c r="L224">
        <f>IF($K224=0,"",SUM($K$5:$K224))</f>
        <v/>
      </c>
    </row>
    <row r="225">
      <c r="A225" s="12" t="inlineStr">
        <is>
          <t>10-005</t>
        </is>
      </c>
      <c r="B225" s="13" t="inlineStr">
        <is>
          <t>Peterstaler Naturell 0,25 l Glas</t>
        </is>
      </c>
      <c r="C225" s="14" t="inlineStr">
        <is>
          <t>AFG – Mineralwasser</t>
        </is>
      </c>
      <c r="D225" s="14" t="inlineStr">
        <is>
          <t>Kasten 24 × 0,25 l</t>
        </is>
      </c>
      <c r="E225" s="12" t="inlineStr">
        <is>
          <t>Flasche</t>
        </is>
      </c>
      <c r="F225" s="14" t="inlineStr">
        <is>
          <t>24 Flaschen/Kasten</t>
        </is>
      </c>
      <c r="G225" s="14" t="inlineStr">
        <is>
          <t>Getränkefachgroßhandel</t>
        </is>
      </c>
      <c r="H225" s="14" t="inlineStr">
        <is>
          <t>Getränkelager</t>
        </is>
      </c>
      <c r="I225" s="14" t="inlineStr"/>
      <c r="K225">
        <f>IF($B225="",0,IF(Suche!$B$4="",1,IF(ISNUMBER(SEARCH(Suche!$B$4,$B225&amp;" "&amp;$C225&amp;" "&amp;$G225)),1,0)))</f>
        <v/>
      </c>
      <c r="L225">
        <f>IF($K225=0,"",SUM($K$5:$K225))</f>
        <v/>
      </c>
    </row>
    <row r="226">
      <c r="A226" s="15" t="inlineStr">
        <is>
          <t>10-006</t>
        </is>
      </c>
      <c r="B226" s="16" t="inlineStr">
        <is>
          <t>Peterstaler Naturell 0,75 l Glas</t>
        </is>
      </c>
      <c r="C226" s="17" t="inlineStr">
        <is>
          <t>AFG – Mineralwasser</t>
        </is>
      </c>
      <c r="D226" s="17" t="inlineStr">
        <is>
          <t>Kasten 12 × 0,75 l</t>
        </is>
      </c>
      <c r="E226" s="15" t="inlineStr">
        <is>
          <t>Flasche</t>
        </is>
      </c>
      <c r="F226" s="17" t="inlineStr">
        <is>
          <t>12 Flaschen/Kasten</t>
        </is>
      </c>
      <c r="G226" s="17" t="inlineStr">
        <is>
          <t>Getränkefachgroßhandel</t>
        </is>
      </c>
      <c r="H226" s="17" t="inlineStr">
        <is>
          <t>Getränkelager</t>
        </is>
      </c>
      <c r="I226" s="17" t="inlineStr"/>
      <c r="K226">
        <f>IF($B226="",0,IF(Suche!$B$4="",1,IF(ISNUMBER(SEARCH(Suche!$B$4,$B226&amp;" "&amp;$C226&amp;" "&amp;$G226)),1,0)))</f>
        <v/>
      </c>
      <c r="L226">
        <f>IF($K226=0,"",SUM($K$5:$K226))</f>
        <v/>
      </c>
    </row>
    <row r="227">
      <c r="A227" s="12" t="inlineStr">
        <is>
          <t>70-010</t>
        </is>
      </c>
      <c r="B227" s="13" t="inlineStr">
        <is>
          <t>Pfeffer schwarz gemahlen 500 g</t>
        </is>
      </c>
      <c r="C227" s="14" t="inlineStr">
        <is>
          <t>Küche – Trockenlager</t>
        </is>
      </c>
      <c r="D227" s="14" t="inlineStr">
        <is>
          <t>Beutel 500 g</t>
        </is>
      </c>
      <c r="E227" s="12" t="inlineStr">
        <is>
          <t>Beutel</t>
        </is>
      </c>
      <c r="F227" s="14" t="inlineStr">
        <is>
          <t>500 g/Beutel</t>
        </is>
      </c>
      <c r="G227" s="14" t="inlineStr">
        <is>
          <t>Lebensmittelgroßhandel</t>
        </is>
      </c>
      <c r="H227" s="14" t="inlineStr">
        <is>
          <t>Trockenlager</t>
        </is>
      </c>
      <c r="I227" s="14" t="inlineStr"/>
      <c r="K227">
        <f>IF($B227="",0,IF(Suche!$B$4="",1,IF(ISNUMBER(SEARCH(Suche!$B$4,$B227&amp;" "&amp;$C227&amp;" "&amp;$G227)),1,0)))</f>
        <v/>
      </c>
      <c r="L227">
        <f>IF($K227=0,"",SUM($K$5:$K227))</f>
        <v/>
      </c>
    </row>
    <row r="228">
      <c r="A228" s="15" t="inlineStr">
        <is>
          <t>45-010</t>
        </is>
      </c>
      <c r="B228" s="16" t="inlineStr">
        <is>
          <t>Pfefferminzlikör 0,7 l</t>
        </is>
      </c>
      <c r="C228" s="17" t="inlineStr">
        <is>
          <t>Spirituosen – Liköre</t>
        </is>
      </c>
      <c r="D228" s="17" t="inlineStr">
        <is>
          <t>Flasche 0,7 l</t>
        </is>
      </c>
      <c r="E228" s="15" t="inlineStr">
        <is>
          <t>Flasche</t>
        </is>
      </c>
      <c r="F228" s="17" t="inlineStr">
        <is>
          <t>1 Flasche</t>
        </is>
      </c>
      <c r="G228" s="17" t="inlineStr">
        <is>
          <t>Spirituosenhandel</t>
        </is>
      </c>
      <c r="H228" s="17" t="inlineStr">
        <is>
          <t>Keller</t>
        </is>
      </c>
      <c r="I228" s="17" t="inlineStr"/>
      <c r="K228">
        <f>IF($B228="",0,IF(Suche!$B$4="",1,IF(ISNUMBER(SEARCH(Suche!$B$4,$B228&amp;" "&amp;$C228&amp;" "&amp;$G228)),1,0)))</f>
        <v/>
      </c>
      <c r="L228">
        <f>IF($K228=0,"",SUM($K$5:$K228))</f>
        <v/>
      </c>
    </row>
    <row r="229">
      <c r="A229" s="12" t="inlineStr">
        <is>
          <t>51-005</t>
        </is>
      </c>
      <c r="B229" s="13" t="inlineStr">
        <is>
          <t>Pfefferminztee Teebeutel</t>
        </is>
      </c>
      <c r="C229" s="14" t="inlineStr">
        <is>
          <t>Heißgetränke – Tee &amp; Kakao</t>
        </is>
      </c>
      <c r="D229" s="14" t="inlineStr">
        <is>
          <t>Karton 25 Beutel</t>
        </is>
      </c>
      <c r="E229" s="12" t="inlineStr">
        <is>
          <t>Packung</t>
        </is>
      </c>
      <c r="F229" s="14" t="inlineStr">
        <is>
          <t>25 Beutel/Packung</t>
        </is>
      </c>
      <c r="G229" s="14" t="inlineStr">
        <is>
          <t>Kaffeelieferant</t>
        </is>
      </c>
      <c r="H229" s="14" t="inlineStr">
        <is>
          <t>Trockenlager</t>
        </is>
      </c>
      <c r="I229" s="14" t="inlineStr"/>
      <c r="K229">
        <f>IF($B229="",0,IF(Suche!$B$4="",1,IF(ISNUMBER(SEARCH(Suche!$B$4,$B229&amp;" "&amp;$C229&amp;" "&amp;$G229)),1,0)))</f>
        <v/>
      </c>
      <c r="L229">
        <f>IF($K229=0,"",SUM($K$5:$K229))</f>
        <v/>
      </c>
    </row>
    <row r="230">
      <c r="A230" s="15" t="inlineStr">
        <is>
          <t>73-001</t>
        </is>
      </c>
      <c r="B230" s="16" t="inlineStr">
        <is>
          <t>Pommes frites 2,5 kg</t>
        </is>
      </c>
      <c r="C230" s="17" t="inlineStr">
        <is>
          <t>Küche – Tiefkühl</t>
        </is>
      </c>
      <c r="D230" s="17" t="inlineStr">
        <is>
          <t>Karton 10 kg</t>
        </is>
      </c>
      <c r="E230" s="15" t="inlineStr">
        <is>
          <t>kg</t>
        </is>
      </c>
      <c r="F230" s="17" t="inlineStr">
        <is>
          <t>10 kg/Karton</t>
        </is>
      </c>
      <c r="G230" s="17" t="inlineStr">
        <is>
          <t>Lebensmittelgroßhandel</t>
        </is>
      </c>
      <c r="H230" s="17" t="inlineStr">
        <is>
          <t>Tiefkühllager</t>
        </is>
      </c>
      <c r="I230" s="17" t="inlineStr"/>
      <c r="K230">
        <f>IF($B230="",0,IF(Suche!$B$4="",1,IF(ISNUMBER(SEARCH(Suche!$B$4,$B230&amp;" "&amp;$C230&amp;" "&amp;$G230)),1,0)))</f>
        <v/>
      </c>
      <c r="L230">
        <f>IF($K230=0,"",SUM($K$5:$K230))</f>
        <v/>
      </c>
    </row>
    <row r="231">
      <c r="A231" s="12" t="inlineStr">
        <is>
          <t>32-010</t>
        </is>
      </c>
      <c r="B231" s="13" t="inlineStr">
        <is>
          <t>Primitivo di Manduria DOC 0,75 l</t>
        </is>
      </c>
      <c r="C231" s="14" t="inlineStr">
        <is>
          <t>Wein – Rot</t>
        </is>
      </c>
      <c r="D231" s="14" t="inlineStr">
        <is>
          <t>Karton 6 × 0,75 l</t>
        </is>
      </c>
      <c r="E231" s="12" t="inlineStr">
        <is>
          <t>Flasche</t>
        </is>
      </c>
      <c r="F231" s="14" t="inlineStr">
        <is>
          <t>6 Flaschen/Karton</t>
        </is>
      </c>
      <c r="G231" s="14" t="inlineStr">
        <is>
          <t>Weinhandel</t>
        </is>
      </c>
      <c r="H231" s="14" t="inlineStr">
        <is>
          <t>Weinkeller</t>
        </is>
      </c>
      <c r="I231" s="14" t="inlineStr"/>
      <c r="K231">
        <f>IF($B231="",0,IF(Suche!$B$4="",1,IF(ISNUMBER(SEARCH(Suche!$B$4,$B231&amp;" "&amp;$C231&amp;" "&amp;$G231)),1,0)))</f>
        <v/>
      </c>
      <c r="L231">
        <f>IF($K231=0,"",SUM($K$5:$K231))</f>
        <v/>
      </c>
    </row>
    <row r="232">
      <c r="A232" s="15" t="inlineStr">
        <is>
          <t>33-005</t>
        </is>
      </c>
      <c r="B232" s="16" t="inlineStr">
        <is>
          <t>Prosecco Frizzante 0,75 l</t>
        </is>
      </c>
      <c r="C232" s="17" t="inlineStr">
        <is>
          <t>Sekt &amp; Champagner</t>
        </is>
      </c>
      <c r="D232" s="17" t="inlineStr">
        <is>
          <t>Karton 6 × 0,75 l</t>
        </is>
      </c>
      <c r="E232" s="15" t="inlineStr">
        <is>
          <t>Flasche</t>
        </is>
      </c>
      <c r="F232" s="17" t="inlineStr">
        <is>
          <t>6 Flaschen/Karton</t>
        </is>
      </c>
      <c r="G232" s="17" t="inlineStr">
        <is>
          <t>Weinhandel</t>
        </is>
      </c>
      <c r="H232" s="17" t="inlineStr">
        <is>
          <t>Weinkeller</t>
        </is>
      </c>
      <c r="I232" s="17" t="inlineStr"/>
      <c r="K232">
        <f>IF($B232="",0,IF(Suche!$B$4="",1,IF(ISNUMBER(SEARCH(Suche!$B$4,$B232&amp;" "&amp;$C232&amp;" "&amp;$G232)),1,0)))</f>
        <v/>
      </c>
      <c r="L232">
        <f>IF($K232=0,"",SUM($K$5:$K232))</f>
        <v/>
      </c>
    </row>
    <row r="233">
      <c r="A233" s="12" t="inlineStr">
        <is>
          <t>33-006</t>
        </is>
      </c>
      <c r="B233" s="13" t="inlineStr">
        <is>
          <t>Prosecco Spumante DOC 0,75 l</t>
        </is>
      </c>
      <c r="C233" s="14" t="inlineStr">
        <is>
          <t>Sekt &amp; Champagner</t>
        </is>
      </c>
      <c r="D233" s="14" t="inlineStr">
        <is>
          <t>Karton 6 × 0,75 l</t>
        </is>
      </c>
      <c r="E233" s="12" t="inlineStr">
        <is>
          <t>Flasche</t>
        </is>
      </c>
      <c r="F233" s="14" t="inlineStr">
        <is>
          <t>6 Flaschen/Karton</t>
        </is>
      </c>
      <c r="G233" s="14" t="inlineStr">
        <is>
          <t>Weinhandel</t>
        </is>
      </c>
      <c r="H233" s="14" t="inlineStr">
        <is>
          <t>Weinkeller</t>
        </is>
      </c>
      <c r="I233" s="14" t="inlineStr"/>
      <c r="K233">
        <f>IF($B233="",0,IF(Suche!$B$4="",1,IF(ISNUMBER(SEARCH(Suche!$B$4,$B233&amp;" "&amp;$C233&amp;" "&amp;$G233)),1,0)))</f>
        <v/>
      </c>
      <c r="L233">
        <f>IF($K233=0,"",SUM($K$5:$K233))</f>
        <v/>
      </c>
    </row>
    <row r="234">
      <c r="A234" s="15" t="inlineStr">
        <is>
          <t>70-005</t>
        </is>
      </c>
      <c r="B234" s="16" t="inlineStr">
        <is>
          <t>Puderzucker 1 kg</t>
        </is>
      </c>
      <c r="C234" s="17" t="inlineStr">
        <is>
          <t>Küche – Trockenlager</t>
        </is>
      </c>
      <c r="D234" s="17" t="inlineStr">
        <is>
          <t>Packung 1 kg</t>
        </is>
      </c>
      <c r="E234" s="15" t="inlineStr">
        <is>
          <t>Packung</t>
        </is>
      </c>
      <c r="F234" s="17" t="inlineStr">
        <is>
          <t>1 kg/Packung</t>
        </is>
      </c>
      <c r="G234" s="17" t="inlineStr">
        <is>
          <t>Lebensmittelgroßhandel</t>
        </is>
      </c>
      <c r="H234" s="17" t="inlineStr">
        <is>
          <t>Trockenlager</t>
        </is>
      </c>
      <c r="I234" s="17" t="inlineStr"/>
      <c r="K234">
        <f>IF($B234="",0,IF(Suche!$B$4="",1,IF(ISNUMBER(SEARCH(Suche!$B$4,$B234&amp;" "&amp;$C234&amp;" "&amp;$G234)),1,0)))</f>
        <v/>
      </c>
      <c r="L234">
        <f>IF($K234=0,"",SUM($K$5:$K234))</f>
        <v/>
      </c>
    </row>
    <row r="235">
      <c r="A235" s="12" t="inlineStr">
        <is>
          <t>73-003</t>
        </is>
      </c>
      <c r="B235" s="13" t="inlineStr">
        <is>
          <t>Rahmspinat 2,5 kg</t>
        </is>
      </c>
      <c r="C235" s="14" t="inlineStr">
        <is>
          <t>Küche – Tiefkühl</t>
        </is>
      </c>
      <c r="D235" s="14" t="inlineStr">
        <is>
          <t>Karton 10 kg</t>
        </is>
      </c>
      <c r="E235" s="12" t="inlineStr">
        <is>
          <t>kg</t>
        </is>
      </c>
      <c r="F235" s="14" t="inlineStr">
        <is>
          <t>10 kg/Karton</t>
        </is>
      </c>
      <c r="G235" s="14" t="inlineStr">
        <is>
          <t>Lebensmittelgroßhandel</t>
        </is>
      </c>
      <c r="H235" s="14" t="inlineStr">
        <is>
          <t>Tiefkühllager</t>
        </is>
      </c>
      <c r="I235" s="14" t="inlineStr"/>
      <c r="K235">
        <f>IF($B235="",0,IF(Suche!$B$4="",1,IF(ISNUMBER(SEARCH(Suche!$B$4,$B235&amp;" "&amp;$C235&amp;" "&amp;$G235)),1,0)))</f>
        <v/>
      </c>
      <c r="L235">
        <f>IF($K235=0,"",SUM($K$5:$K235))</f>
        <v/>
      </c>
    </row>
    <row r="236">
      <c r="A236" s="15" t="inlineStr">
        <is>
          <t>41-004</t>
        </is>
      </c>
      <c r="B236" s="16" t="inlineStr">
        <is>
          <t>Ramazzotti Amaro 0,7 l</t>
        </is>
      </c>
      <c r="C236" s="17" t="inlineStr">
        <is>
          <t>Spirituosen – Bitter &amp; Aperitif</t>
        </is>
      </c>
      <c r="D236" s="17" t="inlineStr">
        <is>
          <t>Flasche 0,7 l</t>
        </is>
      </c>
      <c r="E236" s="15" t="inlineStr">
        <is>
          <t>Flasche</t>
        </is>
      </c>
      <c r="F236" s="17" t="inlineStr">
        <is>
          <t>1 Flasche</t>
        </is>
      </c>
      <c r="G236" s="17" t="inlineStr">
        <is>
          <t>Spirituosenhandel</t>
        </is>
      </c>
      <c r="H236" s="17" t="inlineStr">
        <is>
          <t>Keller</t>
        </is>
      </c>
      <c r="I236" s="17" t="inlineStr"/>
      <c r="K236">
        <f>IF($B236="",0,IF(Suche!$B$4="",1,IF(ISNUMBER(SEARCH(Suche!$B$4,$B236&amp;" "&amp;$C236&amp;" "&amp;$G236)),1,0)))</f>
        <v/>
      </c>
      <c r="L236">
        <f>IF($K236=0,"",SUM($K$5:$K236))</f>
        <v/>
      </c>
    </row>
    <row r="237">
      <c r="A237" s="12" t="inlineStr">
        <is>
          <t>70-019</t>
        </is>
      </c>
      <c r="B237" s="13" t="inlineStr">
        <is>
          <t>Rapsöl 10 l</t>
        </is>
      </c>
      <c r="C237" s="14" t="inlineStr">
        <is>
          <t>Küche – Trockenlager</t>
        </is>
      </c>
      <c r="D237" s="14" t="inlineStr">
        <is>
          <t>Kanister 10 l</t>
        </is>
      </c>
      <c r="E237" s="12" t="inlineStr">
        <is>
          <t>Kanister</t>
        </is>
      </c>
      <c r="F237" s="14" t="inlineStr">
        <is>
          <t>10 l/Kanister</t>
        </is>
      </c>
      <c r="G237" s="14" t="inlineStr">
        <is>
          <t>Lebensmittelgroßhandel</t>
        </is>
      </c>
      <c r="H237" s="14" t="inlineStr">
        <is>
          <t>Trockenlager</t>
        </is>
      </c>
      <c r="I237" s="14" t="inlineStr"/>
      <c r="K237">
        <f>IF($B237="",0,IF(Suche!$B$4="",1,IF(ISNUMBER(SEARCH(Suche!$B$4,$B237&amp;" "&amp;$C237&amp;" "&amp;$G237)),1,0)))</f>
        <v/>
      </c>
      <c r="L237">
        <f>IF($K237=0,"",SUM($K$5:$K237))</f>
        <v/>
      </c>
    </row>
    <row r="238">
      <c r="A238" s="15" t="inlineStr">
        <is>
          <t>13-001</t>
        </is>
      </c>
      <c r="B238" s="16" t="inlineStr">
        <is>
          <t>Red Bull Energy Drink 0,25 l Dose</t>
        </is>
      </c>
      <c r="C238" s="17" t="inlineStr">
        <is>
          <t>AFG – Energy &amp; Sonstige</t>
        </is>
      </c>
      <c r="D238" s="17" t="inlineStr">
        <is>
          <t>Tray 24 × 0,25 l</t>
        </is>
      </c>
      <c r="E238" s="15" t="inlineStr">
        <is>
          <t>Dose</t>
        </is>
      </c>
      <c r="F238" s="17" t="inlineStr">
        <is>
          <t>24 Dosen/Tray</t>
        </is>
      </c>
      <c r="G238" s="17" t="inlineStr">
        <is>
          <t>Getränkefachgroßhandel</t>
        </is>
      </c>
      <c r="H238" s="17" t="inlineStr">
        <is>
          <t>Getränkelager</t>
        </is>
      </c>
      <c r="I238" s="17" t="inlineStr"/>
      <c r="K238">
        <f>IF($B238="",0,IF(Suche!$B$4="",1,IF(ISNUMBER(SEARCH(Suche!$B$4,$B238&amp;" "&amp;$C238&amp;" "&amp;$G238)),1,0)))</f>
        <v/>
      </c>
      <c r="L238">
        <f>IF($K238=0,"",SUM($K$5:$K238))</f>
        <v/>
      </c>
    </row>
    <row r="239">
      <c r="A239" s="12" t="inlineStr">
        <is>
          <t>13-002</t>
        </is>
      </c>
      <c r="B239" s="13" t="inlineStr">
        <is>
          <t>Red Bull Sugarfree 0,25 l Dose</t>
        </is>
      </c>
      <c r="C239" s="14" t="inlineStr">
        <is>
          <t>AFG – Energy &amp; Sonstige</t>
        </is>
      </c>
      <c r="D239" s="14" t="inlineStr">
        <is>
          <t>Tray 24 × 0,25 l</t>
        </is>
      </c>
      <c r="E239" s="12" t="inlineStr">
        <is>
          <t>Dose</t>
        </is>
      </c>
      <c r="F239" s="14" t="inlineStr">
        <is>
          <t>24 Dosen/Tray</t>
        </is>
      </c>
      <c r="G239" s="14" t="inlineStr">
        <is>
          <t>Getränkefachgroßhandel</t>
        </is>
      </c>
      <c r="H239" s="14" t="inlineStr">
        <is>
          <t>Getränkelager</t>
        </is>
      </c>
      <c r="I239" s="14" t="inlineStr"/>
      <c r="K239">
        <f>IF($B239="",0,IF(Suche!$B$4="",1,IF(ISNUMBER(SEARCH(Suche!$B$4,$B239&amp;" "&amp;$C239&amp;" "&amp;$G239)),1,0)))</f>
        <v/>
      </c>
      <c r="L239">
        <f>IF($K239=0,"",SUM($K$5:$K239))</f>
        <v/>
      </c>
    </row>
    <row r="240">
      <c r="A240" s="15" t="inlineStr">
        <is>
          <t>32-004</t>
        </is>
      </c>
      <c r="B240" s="16" t="inlineStr">
        <is>
          <t>Regent QbA trocken 0,75 l</t>
        </is>
      </c>
      <c r="C240" s="17" t="inlineStr">
        <is>
          <t>Wein – Rot</t>
        </is>
      </c>
      <c r="D240" s="17" t="inlineStr">
        <is>
          <t>Karton 6 × 0,75 l</t>
        </is>
      </c>
      <c r="E240" s="15" t="inlineStr">
        <is>
          <t>Flasche</t>
        </is>
      </c>
      <c r="F240" s="17" t="inlineStr">
        <is>
          <t>6 Flaschen/Karton</t>
        </is>
      </c>
      <c r="G240" s="17" t="inlineStr">
        <is>
          <t>Weinhandel</t>
        </is>
      </c>
      <c r="H240" s="17" t="inlineStr">
        <is>
          <t>Weinkeller</t>
        </is>
      </c>
      <c r="I240" s="17" t="inlineStr"/>
      <c r="K240">
        <f>IF($B240="",0,IF(Suche!$B$4="",1,IF(ISNUMBER(SEARCH(Suche!$B$4,$B240&amp;" "&amp;$C240&amp;" "&amp;$G240)),1,0)))</f>
        <v/>
      </c>
      <c r="L240">
        <f>IF($K240=0,"",SUM($K$5:$K240))</f>
        <v/>
      </c>
    </row>
    <row r="241">
      <c r="A241" s="12" t="inlineStr">
        <is>
          <t>44-008</t>
        </is>
      </c>
      <c r="B241" s="13" t="inlineStr">
        <is>
          <t>Rémy Martin VSOP 0,7 l</t>
        </is>
      </c>
      <c r="C241" s="14" t="inlineStr">
        <is>
          <t>Spirituosen – Whisky &amp; Cognac</t>
        </is>
      </c>
      <c r="D241" s="14" t="inlineStr">
        <is>
          <t>Flasche 0,7 l</t>
        </is>
      </c>
      <c r="E241" s="12" t="inlineStr">
        <is>
          <t>Flasche</t>
        </is>
      </c>
      <c r="F241" s="14" t="inlineStr">
        <is>
          <t>1 Flasche</t>
        </is>
      </c>
      <c r="G241" s="14" t="inlineStr">
        <is>
          <t>Spirituosenhandel</t>
        </is>
      </c>
      <c r="H241" s="14" t="inlineStr">
        <is>
          <t>Keller</t>
        </is>
      </c>
      <c r="I241" s="14" t="inlineStr"/>
      <c r="K241">
        <f>IF($B241="",0,IF(Suche!$B$4="",1,IF(ISNUMBER(SEARCH(Suche!$B$4,$B241&amp;" "&amp;$C241&amp;" "&amp;$G241)),1,0)))</f>
        <v/>
      </c>
      <c r="L241">
        <f>IF($K241=0,"",SUM($K$5:$K241))</f>
        <v/>
      </c>
    </row>
    <row r="242">
      <c r="A242" s="15" t="inlineStr">
        <is>
          <t>12-011</t>
        </is>
      </c>
      <c r="B242" s="16" t="inlineStr">
        <is>
          <t>Rhabarbernektar 1,0 l Glas</t>
        </is>
      </c>
      <c r="C242" s="17" t="inlineStr">
        <is>
          <t>AFG – Säfte &amp; Nektare</t>
        </is>
      </c>
      <c r="D242" s="17" t="inlineStr">
        <is>
          <t>Kasten 6 × 1,0 l</t>
        </is>
      </c>
      <c r="E242" s="15" t="inlineStr">
        <is>
          <t>Flasche</t>
        </is>
      </c>
      <c r="F242" s="17" t="inlineStr">
        <is>
          <t>6 Flaschen/Kasten</t>
        </is>
      </c>
      <c r="G242" s="17" t="inlineStr">
        <is>
          <t>Getränkefachgroßhandel</t>
        </is>
      </c>
      <c r="H242" s="17" t="inlineStr">
        <is>
          <t>Getränkelager</t>
        </is>
      </c>
      <c r="I242" s="17" t="inlineStr"/>
      <c r="K242">
        <f>IF($B242="",0,IF(Suche!$B$4="",1,IF(ISNUMBER(SEARCH(Suche!$B$4,$B242&amp;" "&amp;$C242&amp;" "&amp;$G242)),1,0)))</f>
        <v/>
      </c>
      <c r="L242">
        <f>IF($K242=0,"",SUM($K$5:$K242))</f>
        <v/>
      </c>
    </row>
    <row r="243">
      <c r="A243" s="12" t="inlineStr">
        <is>
          <t>30-009</t>
        </is>
      </c>
      <c r="B243" s="13" t="inlineStr">
        <is>
          <t>Riesling Kabinett feinherb 0,75 l</t>
        </is>
      </c>
      <c r="C243" s="14" t="inlineStr">
        <is>
          <t>Wein – Weiß</t>
        </is>
      </c>
      <c r="D243" s="14" t="inlineStr">
        <is>
          <t>Karton 6 × 0,75 l</t>
        </is>
      </c>
      <c r="E243" s="12" t="inlineStr">
        <is>
          <t>Flasche</t>
        </is>
      </c>
      <c r="F243" s="14" t="inlineStr">
        <is>
          <t>6 Flaschen/Karton</t>
        </is>
      </c>
      <c r="G243" s="14" t="inlineStr">
        <is>
          <t>Weinhandel</t>
        </is>
      </c>
      <c r="H243" s="14" t="inlineStr">
        <is>
          <t>Weinkeller</t>
        </is>
      </c>
      <c r="I243" s="14" t="inlineStr"/>
      <c r="K243">
        <f>IF($B243="",0,IF(Suche!$B$4="",1,IF(ISNUMBER(SEARCH(Suche!$B$4,$B243&amp;" "&amp;$C243&amp;" "&amp;$G243)),1,0)))</f>
        <v/>
      </c>
      <c r="L243">
        <f>IF($K243=0,"",SUM($K$5:$K243))</f>
        <v/>
      </c>
    </row>
    <row r="244">
      <c r="A244" s="15" t="inlineStr">
        <is>
          <t>30-008</t>
        </is>
      </c>
      <c r="B244" s="16" t="inlineStr">
        <is>
          <t>Riesling QbA trocken 0,75 l</t>
        </is>
      </c>
      <c r="C244" s="17" t="inlineStr">
        <is>
          <t>Wein – Weiß</t>
        </is>
      </c>
      <c r="D244" s="17" t="inlineStr">
        <is>
          <t>Karton 6 × 0,75 l</t>
        </is>
      </c>
      <c r="E244" s="15" t="inlineStr">
        <is>
          <t>Flasche</t>
        </is>
      </c>
      <c r="F244" s="17" t="inlineStr">
        <is>
          <t>6 Flaschen/Karton</t>
        </is>
      </c>
      <c r="G244" s="17" t="inlineStr">
        <is>
          <t>Weinhandel</t>
        </is>
      </c>
      <c r="H244" s="17" t="inlineStr">
        <is>
          <t>Weinkeller</t>
        </is>
      </c>
      <c r="I244" s="17" t="inlineStr"/>
      <c r="K244">
        <f>IF($B244="",0,IF(Suche!$B$4="",1,IF(ISNUMBER(SEARCH(Suche!$B$4,$B244&amp;" "&amp;$C244&amp;" "&amp;$G244)),1,0)))</f>
        <v/>
      </c>
      <c r="L244">
        <f>IF($K244=0,"",SUM($K$5:$K244))</f>
        <v/>
      </c>
    </row>
    <row r="245">
      <c r="A245" s="12" t="inlineStr">
        <is>
          <t>71-005</t>
        </is>
      </c>
      <c r="B245" s="13" t="inlineStr">
        <is>
          <t>Rinderbrühe Pulver 1 kg</t>
        </is>
      </c>
      <c r="C245" s="14" t="inlineStr">
        <is>
          <t>Küche – Konserven &amp; Saucen</t>
        </is>
      </c>
      <c r="D245" s="14" t="inlineStr">
        <is>
          <t>Dose 1 kg</t>
        </is>
      </c>
      <c r="E245" s="12" t="inlineStr">
        <is>
          <t>Dose</t>
        </is>
      </c>
      <c r="F245" s="14" t="inlineStr">
        <is>
          <t>1 kg/Dose</t>
        </is>
      </c>
      <c r="G245" s="14" t="inlineStr">
        <is>
          <t>Lebensmittelgroßhandel</t>
        </is>
      </c>
      <c r="H245" s="14" t="inlineStr">
        <is>
          <t>Trockenlager</t>
        </is>
      </c>
      <c r="I245" s="14" t="inlineStr"/>
      <c r="K245">
        <f>IF($B245="",0,IF(Suche!$B$4="",1,IF(ISNUMBER(SEARCH(Suche!$B$4,$B245&amp;" "&amp;$C245&amp;" "&amp;$G245)),1,0)))</f>
        <v/>
      </c>
      <c r="L245">
        <f>IF($K245=0,"",SUM($K$5:$K245))</f>
        <v/>
      </c>
    </row>
    <row r="246">
      <c r="A246" s="15" t="inlineStr">
        <is>
          <t>32-012</t>
        </is>
      </c>
      <c r="B246" s="16" t="inlineStr">
        <is>
          <t>Rioja Crianza DOCa 0,75 l</t>
        </is>
      </c>
      <c r="C246" s="17" t="inlineStr">
        <is>
          <t>Wein – Rot</t>
        </is>
      </c>
      <c r="D246" s="17" t="inlineStr">
        <is>
          <t>Karton 6 × 0,75 l</t>
        </is>
      </c>
      <c r="E246" s="15" t="inlineStr">
        <is>
          <t>Flasche</t>
        </is>
      </c>
      <c r="F246" s="17" t="inlineStr">
        <is>
          <t>6 Flaschen/Karton</t>
        </is>
      </c>
      <c r="G246" s="17" t="inlineStr">
        <is>
          <t>Weinhandel</t>
        </is>
      </c>
      <c r="H246" s="17" t="inlineStr">
        <is>
          <t>Weinkeller</t>
        </is>
      </c>
      <c r="I246" s="17" t="inlineStr"/>
      <c r="K246">
        <f>IF($B246="",0,IF(Suche!$B$4="",1,IF(ISNUMBER(SEARCH(Suche!$B$4,$B246&amp;" "&amp;$C246&amp;" "&amp;$G246)),1,0)))</f>
        <v/>
      </c>
      <c r="L246">
        <f>IF($K246=0,"",SUM($K$5:$K246))</f>
        <v/>
      </c>
    </row>
    <row r="247">
      <c r="A247" s="12" t="inlineStr">
        <is>
          <t>70-023</t>
        </is>
      </c>
      <c r="B247" s="13" t="inlineStr">
        <is>
          <t>Risottoreis Carnaroli 5 kg</t>
        </is>
      </c>
      <c r="C247" s="14" t="inlineStr">
        <is>
          <t>Küche – Trockenlager</t>
        </is>
      </c>
      <c r="D247" s="14" t="inlineStr">
        <is>
          <t>Sack 5 kg</t>
        </is>
      </c>
      <c r="E247" s="12" t="inlineStr">
        <is>
          <t>kg</t>
        </is>
      </c>
      <c r="F247" s="14" t="inlineStr">
        <is>
          <t>5 kg/Sack</t>
        </is>
      </c>
      <c r="G247" s="14" t="inlineStr">
        <is>
          <t>Lebensmittelgroßhandel</t>
        </is>
      </c>
      <c r="H247" s="14" t="inlineStr">
        <is>
          <t>Trockenlager</t>
        </is>
      </c>
      <c r="I247" s="14" t="inlineStr"/>
      <c r="K247">
        <f>IF($B247="",0,IF(Suche!$B$4="",1,IF(ISNUMBER(SEARCH(Suche!$B$4,$B247&amp;" "&amp;$C247&amp;" "&amp;$G247)),1,0)))</f>
        <v/>
      </c>
      <c r="L247">
        <f>IF($K247=0,"",SUM($K$5:$K247))</f>
        <v/>
      </c>
    </row>
    <row r="248">
      <c r="A248" s="15" t="inlineStr">
        <is>
          <t>43-004</t>
        </is>
      </c>
      <c r="B248" s="16" t="inlineStr">
        <is>
          <t>Ron Zacapa 23 0,7 l</t>
        </is>
      </c>
      <c r="C248" s="17" t="inlineStr">
        <is>
          <t>Spirituosen – Rum &amp; Tequila</t>
        </is>
      </c>
      <c r="D248" s="17" t="inlineStr">
        <is>
          <t>Flasche 0,7 l</t>
        </is>
      </c>
      <c r="E248" s="15" t="inlineStr">
        <is>
          <t>Flasche</t>
        </is>
      </c>
      <c r="F248" s="17" t="inlineStr">
        <is>
          <t>1 Flasche</t>
        </is>
      </c>
      <c r="G248" s="17" t="inlineStr">
        <is>
          <t>Spirituosenhandel</t>
        </is>
      </c>
      <c r="H248" s="17" t="inlineStr">
        <is>
          <t>Keller</t>
        </is>
      </c>
      <c r="I248" s="17" t="inlineStr"/>
      <c r="K248">
        <f>IF($B248="",0,IF(Suche!$B$4="",1,IF(ISNUMBER(SEARCH(Suche!$B$4,$B248&amp;" "&amp;$C248&amp;" "&amp;$G248)),1,0)))</f>
        <v/>
      </c>
      <c r="L248">
        <f>IF($K248=0,"",SUM($K$5:$K248))</f>
        <v/>
      </c>
    </row>
    <row r="249">
      <c r="A249" s="12" t="inlineStr">
        <is>
          <t>51-008</t>
        </is>
      </c>
      <c r="B249" s="13" t="inlineStr">
        <is>
          <t>Rooibostee Teebeutel</t>
        </is>
      </c>
      <c r="C249" s="14" t="inlineStr">
        <is>
          <t>Heißgetränke – Tee &amp; Kakao</t>
        </is>
      </c>
      <c r="D249" s="14" t="inlineStr">
        <is>
          <t>Karton 25 Beutel</t>
        </is>
      </c>
      <c r="E249" s="12" t="inlineStr">
        <is>
          <t>Packung</t>
        </is>
      </c>
      <c r="F249" s="14" t="inlineStr">
        <is>
          <t>25 Beutel/Packung</t>
        </is>
      </c>
      <c r="G249" s="14" t="inlineStr">
        <is>
          <t>Kaffeelieferant</t>
        </is>
      </c>
      <c r="H249" s="14" t="inlineStr">
        <is>
          <t>Trockenlager</t>
        </is>
      </c>
      <c r="I249" s="14" t="inlineStr"/>
      <c r="K249">
        <f>IF($B249="",0,IF(Suche!$B$4="",1,IF(ISNUMBER(SEARCH(Suche!$B$4,$B249&amp;" "&amp;$C249&amp;" "&amp;$G249)),1,0)))</f>
        <v/>
      </c>
      <c r="L249">
        <f>IF($K249=0,"",SUM($K$5:$K249))</f>
        <v/>
      </c>
    </row>
    <row r="250">
      <c r="A250" s="15" t="inlineStr">
        <is>
          <t>31-002</t>
        </is>
      </c>
      <c r="B250" s="16" t="inlineStr">
        <is>
          <t>Rosé QbA trocken 0,75 l</t>
        </is>
      </c>
      <c r="C250" s="17" t="inlineStr">
        <is>
          <t>Wein – Rosé &amp; Weißherbst</t>
        </is>
      </c>
      <c r="D250" s="17" t="inlineStr">
        <is>
          <t>Karton 6 × 0,75 l</t>
        </is>
      </c>
      <c r="E250" s="15" t="inlineStr">
        <is>
          <t>Flasche</t>
        </is>
      </c>
      <c r="F250" s="17" t="inlineStr">
        <is>
          <t>6 Flaschen/Karton</t>
        </is>
      </c>
      <c r="G250" s="17" t="inlineStr">
        <is>
          <t>Weinhandel</t>
        </is>
      </c>
      <c r="H250" s="17" t="inlineStr">
        <is>
          <t>Weinkeller</t>
        </is>
      </c>
      <c r="I250" s="17" t="inlineStr"/>
      <c r="K250">
        <f>IF($B250="",0,IF(Suche!$B$4="",1,IF(ISNUMBER(SEARCH(Suche!$B$4,$B250&amp;" "&amp;$C250&amp;" "&amp;$G250)),1,0)))</f>
        <v/>
      </c>
      <c r="L250">
        <f>IF($K250=0,"",SUM($K$5:$K250))</f>
        <v/>
      </c>
    </row>
    <row r="251">
      <c r="A251" s="12" t="inlineStr">
        <is>
          <t>20-006</t>
        </is>
      </c>
      <c r="B251" s="13" t="inlineStr">
        <is>
          <t>Rothaus Alkoholfrei 0,33 l Glas</t>
        </is>
      </c>
      <c r="C251" s="14" t="inlineStr">
        <is>
          <t>Bier</t>
        </is>
      </c>
      <c r="D251" s="14" t="inlineStr">
        <is>
          <t>Kasten 20 × 0,33 l</t>
        </is>
      </c>
      <c r="E251" s="12" t="inlineStr">
        <is>
          <t>Flasche</t>
        </is>
      </c>
      <c r="F251" s="14" t="inlineStr">
        <is>
          <t>20 Flaschen/Kasten</t>
        </is>
      </c>
      <c r="G251" s="14" t="inlineStr">
        <is>
          <t>Getränkefachgroßhandel</t>
        </is>
      </c>
      <c r="H251" s="14" t="inlineStr">
        <is>
          <t>Getränkelager</t>
        </is>
      </c>
      <c r="I251" s="14" t="inlineStr"/>
      <c r="K251">
        <f>IF($B251="",0,IF(Suche!$B$4="",1,IF(ISNUMBER(SEARCH(Suche!$B$4,$B251&amp;" "&amp;$C251&amp;" "&amp;$G251)),1,0)))</f>
        <v/>
      </c>
      <c r="L251">
        <f>IF($K251=0,"",SUM($K$5:$K251))</f>
        <v/>
      </c>
    </row>
    <row r="252">
      <c r="A252" s="15" t="inlineStr">
        <is>
          <t>20-008</t>
        </is>
      </c>
      <c r="B252" s="16" t="inlineStr">
        <is>
          <t>Rothaus Hefeweizen Fass 30 l</t>
        </is>
      </c>
      <c r="C252" s="17" t="inlineStr">
        <is>
          <t>Bier</t>
        </is>
      </c>
      <c r="D252" s="17" t="inlineStr">
        <is>
          <t>Fass 30 l</t>
        </is>
      </c>
      <c r="E252" s="15" t="inlineStr">
        <is>
          <t>Fass</t>
        </is>
      </c>
      <c r="F252" s="17" t="inlineStr">
        <is>
          <t>30 l/Fass</t>
        </is>
      </c>
      <c r="G252" s="17" t="inlineStr">
        <is>
          <t>Getränkefachgroßhandel</t>
        </is>
      </c>
      <c r="H252" s="17" t="inlineStr">
        <is>
          <t>Getränkelager</t>
        </is>
      </c>
      <c r="I252" s="17" t="inlineStr"/>
      <c r="K252">
        <f>IF($B252="",0,IF(Suche!$B$4="",1,IF(ISNUMBER(SEARCH(Suche!$B$4,$B252&amp;" "&amp;$C252&amp;" "&amp;$G252)),1,0)))</f>
        <v/>
      </c>
      <c r="L252">
        <f>IF($K252=0,"",SUM($K$5:$K252))</f>
        <v/>
      </c>
    </row>
    <row r="253">
      <c r="A253" s="12" t="inlineStr">
        <is>
          <t>20-003</t>
        </is>
      </c>
      <c r="B253" s="13" t="inlineStr">
        <is>
          <t>Rothaus Hefeweizen Zäpfle 0,33 l Glas</t>
        </is>
      </c>
      <c r="C253" s="14" t="inlineStr">
        <is>
          <t>Bier</t>
        </is>
      </c>
      <c r="D253" s="14" t="inlineStr">
        <is>
          <t>Kasten 20 × 0,33 l</t>
        </is>
      </c>
      <c r="E253" s="12" t="inlineStr">
        <is>
          <t>Flasche</t>
        </is>
      </c>
      <c r="F253" s="14" t="inlineStr">
        <is>
          <t>20 Flaschen/Kasten</t>
        </is>
      </c>
      <c r="G253" s="14" t="inlineStr">
        <is>
          <t>Getränkefachgroßhandel</t>
        </is>
      </c>
      <c r="H253" s="14" t="inlineStr">
        <is>
          <t>Getränkelager</t>
        </is>
      </c>
      <c r="I253" s="14" t="inlineStr"/>
      <c r="K253">
        <f>IF($B253="",0,IF(Suche!$B$4="",1,IF(ISNUMBER(SEARCH(Suche!$B$4,$B253&amp;" "&amp;$C253&amp;" "&amp;$G253)),1,0)))</f>
        <v/>
      </c>
      <c r="L253">
        <f>IF($K253=0,"",SUM($K$5:$K253))</f>
        <v/>
      </c>
    </row>
    <row r="254">
      <c r="A254" s="15" t="inlineStr">
        <is>
          <t>20-004</t>
        </is>
      </c>
      <c r="B254" s="16" t="inlineStr">
        <is>
          <t>Rothaus Märzen Export 0,33 l Glas</t>
        </is>
      </c>
      <c r="C254" s="17" t="inlineStr">
        <is>
          <t>Bier</t>
        </is>
      </c>
      <c r="D254" s="17" t="inlineStr">
        <is>
          <t>Kasten 20 × 0,33 l</t>
        </is>
      </c>
      <c r="E254" s="15" t="inlineStr">
        <is>
          <t>Flasche</t>
        </is>
      </c>
      <c r="F254" s="17" t="inlineStr">
        <is>
          <t>20 Flaschen/Kasten</t>
        </is>
      </c>
      <c r="G254" s="17" t="inlineStr">
        <is>
          <t>Getränkefachgroßhandel</t>
        </is>
      </c>
      <c r="H254" s="17" t="inlineStr">
        <is>
          <t>Getränkelager</t>
        </is>
      </c>
      <c r="I254" s="17" t="inlineStr"/>
      <c r="K254">
        <f>IF($B254="",0,IF(Suche!$B$4="",1,IF(ISNUMBER(SEARCH(Suche!$B$4,$B254&amp;" "&amp;$C254&amp;" "&amp;$G254)),1,0)))</f>
        <v/>
      </c>
      <c r="L254">
        <f>IF($K254=0,"",SUM($K$5:$K254))</f>
        <v/>
      </c>
    </row>
    <row r="255">
      <c r="A255" s="12" t="inlineStr">
        <is>
          <t>20-002</t>
        </is>
      </c>
      <c r="B255" s="13" t="inlineStr">
        <is>
          <t>Rothaus Pils 0,5 l Glas</t>
        </is>
      </c>
      <c r="C255" s="14" t="inlineStr">
        <is>
          <t>Bier</t>
        </is>
      </c>
      <c r="D255" s="14" t="inlineStr">
        <is>
          <t>Kasten 20 × 0,5 l</t>
        </is>
      </c>
      <c r="E255" s="12" t="inlineStr">
        <is>
          <t>Flasche</t>
        </is>
      </c>
      <c r="F255" s="14" t="inlineStr">
        <is>
          <t>20 Flaschen/Kasten</t>
        </is>
      </c>
      <c r="G255" s="14" t="inlineStr">
        <is>
          <t>Getränkefachgroßhandel</t>
        </is>
      </c>
      <c r="H255" s="14" t="inlineStr">
        <is>
          <t>Getränkelager</t>
        </is>
      </c>
      <c r="I255" s="14" t="inlineStr"/>
      <c r="K255">
        <f>IF($B255="",0,IF(Suche!$B$4="",1,IF(ISNUMBER(SEARCH(Suche!$B$4,$B255&amp;" "&amp;$C255&amp;" "&amp;$G255)),1,0)))</f>
        <v/>
      </c>
      <c r="L255">
        <f>IF($K255=0,"",SUM($K$5:$K255))</f>
        <v/>
      </c>
    </row>
    <row r="256">
      <c r="A256" s="15" t="inlineStr">
        <is>
          <t>20-007</t>
        </is>
      </c>
      <c r="B256" s="16" t="inlineStr">
        <is>
          <t>Rothaus Pils Fass 30 l</t>
        </is>
      </c>
      <c r="C256" s="17" t="inlineStr">
        <is>
          <t>Bier</t>
        </is>
      </c>
      <c r="D256" s="17" t="inlineStr">
        <is>
          <t>Fass 30 l</t>
        </is>
      </c>
      <c r="E256" s="15" t="inlineStr">
        <is>
          <t>Fass</t>
        </is>
      </c>
      <c r="F256" s="17" t="inlineStr">
        <is>
          <t>30 l/Fass</t>
        </is>
      </c>
      <c r="G256" s="17" t="inlineStr">
        <is>
          <t>Getränkefachgroßhandel</t>
        </is>
      </c>
      <c r="H256" s="17" t="inlineStr">
        <is>
          <t>Getränkelager</t>
        </is>
      </c>
      <c r="I256" s="17" t="inlineStr"/>
      <c r="K256">
        <f>IF($B256="",0,IF(Suche!$B$4="",1,IF(ISNUMBER(SEARCH(Suche!$B$4,$B256&amp;" "&amp;$C256&amp;" "&amp;$G256)),1,0)))</f>
        <v/>
      </c>
      <c r="L256">
        <f>IF($K256=0,"",SUM($K$5:$K256))</f>
        <v/>
      </c>
    </row>
    <row r="257">
      <c r="A257" s="12" t="inlineStr">
        <is>
          <t>20-005</t>
        </is>
      </c>
      <c r="B257" s="13" t="inlineStr">
        <is>
          <t>Rothaus Radler Zäpfle 0,33 l Glas</t>
        </is>
      </c>
      <c r="C257" s="14" t="inlineStr">
        <is>
          <t>Bier</t>
        </is>
      </c>
      <c r="D257" s="14" t="inlineStr">
        <is>
          <t>Kasten 20 × 0,33 l</t>
        </is>
      </c>
      <c r="E257" s="12" t="inlineStr">
        <is>
          <t>Flasche</t>
        </is>
      </c>
      <c r="F257" s="14" t="inlineStr">
        <is>
          <t>20 Flaschen/Kasten</t>
        </is>
      </c>
      <c r="G257" s="14" t="inlineStr">
        <is>
          <t>Getränkefachgroßhandel</t>
        </is>
      </c>
      <c r="H257" s="14" t="inlineStr">
        <is>
          <t>Getränkelager</t>
        </is>
      </c>
      <c r="I257" s="14" t="inlineStr"/>
      <c r="K257">
        <f>IF($B257="",0,IF(Suche!$B$4="",1,IF(ISNUMBER(SEARCH(Suche!$B$4,$B257&amp;" "&amp;$C257&amp;" "&amp;$G257)),1,0)))</f>
        <v/>
      </c>
      <c r="L257">
        <f>IF($K257=0,"",SUM($K$5:$K257))</f>
        <v/>
      </c>
    </row>
    <row r="258">
      <c r="A258" s="15" t="inlineStr">
        <is>
          <t>20-001</t>
        </is>
      </c>
      <c r="B258" s="16" t="inlineStr">
        <is>
          <t>Rothaus Tannenzäpfle 0,33 l Glas</t>
        </is>
      </c>
      <c r="C258" s="17" t="inlineStr">
        <is>
          <t>Bier</t>
        </is>
      </c>
      <c r="D258" s="17" t="inlineStr">
        <is>
          <t>Kasten 20 × 0,33 l</t>
        </is>
      </c>
      <c r="E258" s="15" t="inlineStr">
        <is>
          <t>Flasche</t>
        </is>
      </c>
      <c r="F258" s="17" t="inlineStr">
        <is>
          <t>20 Flaschen/Kasten</t>
        </is>
      </c>
      <c r="G258" s="17" t="inlineStr">
        <is>
          <t>Getränkefachgroßhandel</t>
        </is>
      </c>
      <c r="H258" s="17" t="inlineStr">
        <is>
          <t>Getränkelager</t>
        </is>
      </c>
      <c r="I258" s="17" t="inlineStr"/>
      <c r="K258">
        <f>IF($B258="",0,IF(Suche!$B$4="",1,IF(ISNUMBER(SEARCH(Suche!$B$4,$B258&amp;" "&amp;$C258&amp;" "&amp;$G258)),1,0)))</f>
        <v/>
      </c>
      <c r="L258">
        <f>IF($K258=0,"",SUM($K$5:$K258))</f>
        <v/>
      </c>
    </row>
    <row r="259">
      <c r="A259" s="12" t="inlineStr">
        <is>
          <t>33-002</t>
        </is>
      </c>
      <c r="B259" s="13" t="inlineStr">
        <is>
          <t>Rotkäppchen Sekt trocken 0,75 l</t>
        </is>
      </c>
      <c r="C259" s="14" t="inlineStr">
        <is>
          <t>Sekt &amp; Champagner</t>
        </is>
      </c>
      <c r="D259" s="14" t="inlineStr">
        <is>
          <t>Karton 6 × 0,75 l</t>
        </is>
      </c>
      <c r="E259" s="12" t="inlineStr">
        <is>
          <t>Flasche</t>
        </is>
      </c>
      <c r="F259" s="14" t="inlineStr">
        <is>
          <t>6 Flaschen/Karton</t>
        </is>
      </c>
      <c r="G259" s="14" t="inlineStr">
        <is>
          <t>Weinhandel</t>
        </is>
      </c>
      <c r="H259" s="14" t="inlineStr">
        <is>
          <t>Weinkeller</t>
        </is>
      </c>
      <c r="I259" s="14" t="inlineStr"/>
      <c r="K259">
        <f>IF($B259="",0,IF(Suche!$B$4="",1,IF(ISNUMBER(SEARCH(Suche!$B$4,$B259&amp;" "&amp;$C259&amp;" "&amp;$G259)),1,0)))</f>
        <v/>
      </c>
      <c r="L259">
        <f>IF($K259=0,"",SUM($K$5:$K259))</f>
        <v/>
      </c>
    </row>
    <row r="260">
      <c r="A260" s="15" t="inlineStr">
        <is>
          <t>72-022</t>
        </is>
      </c>
      <c r="B260" s="16" t="inlineStr">
        <is>
          <t>Salami am Stück</t>
        </is>
      </c>
      <c r="C260" s="17" t="inlineStr">
        <is>
          <t>Küche – Kühlhaus</t>
        </is>
      </c>
      <c r="D260" s="17" t="inlineStr">
        <is>
          <t>Stück ca. 1 kg</t>
        </is>
      </c>
      <c r="E260" s="15" t="inlineStr">
        <is>
          <t>kg</t>
        </is>
      </c>
      <c r="F260" s="17" t="inlineStr">
        <is>
          <t>ca. 1 kg/Stück</t>
        </is>
      </c>
      <c r="G260" s="17" t="inlineStr">
        <is>
          <t>Lebensmittelgroßhandel</t>
        </is>
      </c>
      <c r="H260" s="17" t="inlineStr">
        <is>
          <t>Kühlhaus</t>
        </is>
      </c>
      <c r="I260" s="17" t="inlineStr"/>
      <c r="K260">
        <f>IF($B260="",0,IF(Suche!$B$4="",1,IF(ISNUMBER(SEARCH(Suche!$B$4,$B260&amp;" "&amp;$C260&amp;" "&amp;$G260)),1,0)))</f>
        <v/>
      </c>
      <c r="L260">
        <f>IF($K260=0,"",SUM($K$5:$K260))</f>
        <v/>
      </c>
    </row>
    <row r="261">
      <c r="A261" s="12" t="inlineStr">
        <is>
          <t>70-009</t>
        </is>
      </c>
      <c r="B261" s="13" t="inlineStr">
        <is>
          <t>Salz jodiert 1 kg</t>
        </is>
      </c>
      <c r="C261" s="14" t="inlineStr">
        <is>
          <t>Küche – Trockenlager</t>
        </is>
      </c>
      <c r="D261" s="14" t="inlineStr">
        <is>
          <t>Karton 10 × 1 kg</t>
        </is>
      </c>
      <c r="E261" s="12" t="inlineStr">
        <is>
          <t>kg</t>
        </is>
      </c>
      <c r="F261" s="14" t="inlineStr">
        <is>
          <t>10 kg/Karton</t>
        </is>
      </c>
      <c r="G261" s="14" t="inlineStr">
        <is>
          <t>Lebensmittelgroßhandel</t>
        </is>
      </c>
      <c r="H261" s="14" t="inlineStr">
        <is>
          <t>Trockenlager</t>
        </is>
      </c>
      <c r="I261" s="14" t="inlineStr"/>
      <c r="K261">
        <f>IF($B261="",0,IF(Suche!$B$4="",1,IF(ISNUMBER(SEARCH(Suche!$B$4,$B261&amp;" "&amp;$C261&amp;" "&amp;$G261)),1,0)))</f>
        <v/>
      </c>
      <c r="L261">
        <f>IF($K261=0,"",SUM($K$5:$K261))</f>
        <v/>
      </c>
    </row>
    <row r="262">
      <c r="A262" s="15" t="inlineStr">
        <is>
          <t>45-007</t>
        </is>
      </c>
      <c r="B262" s="16" t="inlineStr">
        <is>
          <t>Sambuca 0,7 l</t>
        </is>
      </c>
      <c r="C262" s="17" t="inlineStr">
        <is>
          <t>Spirituosen – Liköre</t>
        </is>
      </c>
      <c r="D262" s="17" t="inlineStr">
        <is>
          <t>Flasche 0,7 l</t>
        </is>
      </c>
      <c r="E262" s="15" t="inlineStr">
        <is>
          <t>Flasche</t>
        </is>
      </c>
      <c r="F262" s="17" t="inlineStr">
        <is>
          <t>1 Flasche</t>
        </is>
      </c>
      <c r="G262" s="17" t="inlineStr">
        <is>
          <t>Spirituosenhandel</t>
        </is>
      </c>
      <c r="H262" s="17" t="inlineStr">
        <is>
          <t>Keller</t>
        </is>
      </c>
      <c r="I262" s="17" t="inlineStr"/>
      <c r="K262">
        <f>IF($B262="",0,IF(Suche!$B$4="",1,IF(ISNUMBER(SEARCH(Suche!$B$4,$B262&amp;" "&amp;$C262&amp;" "&amp;$G262)),1,0)))</f>
        <v/>
      </c>
      <c r="L262">
        <f>IF($K262=0,"",SUM($K$5:$K262))</f>
        <v/>
      </c>
    </row>
    <row r="263">
      <c r="A263" s="12" t="inlineStr">
        <is>
          <t>10-014</t>
        </is>
      </c>
      <c r="B263" s="13" t="inlineStr">
        <is>
          <t>San Pellegrino 0,75 l Glas</t>
        </is>
      </c>
      <c r="C263" s="14" t="inlineStr">
        <is>
          <t>AFG – Mineralwasser</t>
        </is>
      </c>
      <c r="D263" s="14" t="inlineStr">
        <is>
          <t>Kasten 12 × 0,75 l</t>
        </is>
      </c>
      <c r="E263" s="12" t="inlineStr">
        <is>
          <t>Flasche</t>
        </is>
      </c>
      <c r="F263" s="14" t="inlineStr">
        <is>
          <t>12 Flaschen/Kasten</t>
        </is>
      </c>
      <c r="G263" s="14" t="inlineStr">
        <is>
          <t>Getränkefachgroßhandel</t>
        </is>
      </c>
      <c r="H263" s="14" t="inlineStr">
        <is>
          <t>Getränkelager</t>
        </is>
      </c>
      <c r="I263" s="14" t="inlineStr"/>
      <c r="K263">
        <f>IF($B263="",0,IF(Suche!$B$4="",1,IF(ISNUMBER(SEARCH(Suche!$B$4,$B263&amp;" "&amp;$C263&amp;" "&amp;$G263)),1,0)))</f>
        <v/>
      </c>
      <c r="L263">
        <f>IF($K263=0,"",SUM($K$5:$K263))</f>
        <v/>
      </c>
    </row>
    <row r="264">
      <c r="A264" s="15" t="inlineStr">
        <is>
          <t>81-003</t>
        </is>
      </c>
      <c r="B264" s="16" t="inlineStr">
        <is>
          <t>Sanitärreiniger 1 l</t>
        </is>
      </c>
      <c r="C264" s="17" t="inlineStr">
        <is>
          <t>Housekeeping – Reinigung</t>
        </is>
      </c>
      <c r="D264" s="17" t="inlineStr">
        <is>
          <t>Flasche 1 l</t>
        </is>
      </c>
      <c r="E264" s="15" t="inlineStr">
        <is>
          <t>Flasche</t>
        </is>
      </c>
      <c r="F264" s="17" t="inlineStr">
        <is>
          <t>1 l/Flasche</t>
        </is>
      </c>
      <c r="G264" s="17" t="inlineStr">
        <is>
          <t>Hygiene- &amp; Reinigungsbedarf</t>
        </is>
      </c>
      <c r="H264" s="17" t="inlineStr">
        <is>
          <t>Housekeeping</t>
        </is>
      </c>
      <c r="I264" s="17" t="inlineStr"/>
      <c r="K264">
        <f>IF($B264="",0,IF(Suche!$B$4="",1,IF(ISNUMBER(SEARCH(Suche!$B$4,$B264&amp;" "&amp;$C264&amp;" "&amp;$G264)),1,0)))</f>
        <v/>
      </c>
      <c r="L264">
        <f>IF($K264=0,"",SUM($K$5:$K264))</f>
        <v/>
      </c>
    </row>
    <row r="265">
      <c r="A265" s="12" t="inlineStr">
        <is>
          <t>71-023</t>
        </is>
      </c>
      <c r="B265" s="13" t="inlineStr">
        <is>
          <t>Sauerkraut 2,5 kg</t>
        </is>
      </c>
      <c r="C265" s="14" t="inlineStr">
        <is>
          <t>Küche – Konserven &amp; Saucen</t>
        </is>
      </c>
      <c r="D265" s="14" t="inlineStr">
        <is>
          <t>Dose 2,5 kg</t>
        </is>
      </c>
      <c r="E265" s="12" t="inlineStr">
        <is>
          <t>Dose</t>
        </is>
      </c>
      <c r="F265" s="14" t="inlineStr">
        <is>
          <t>2,5 kg/Dose</t>
        </is>
      </c>
      <c r="G265" s="14" t="inlineStr">
        <is>
          <t>Lebensmittelgroßhandel</t>
        </is>
      </c>
      <c r="H265" s="14" t="inlineStr">
        <is>
          <t>Trockenlager</t>
        </is>
      </c>
      <c r="I265" s="14" t="inlineStr"/>
      <c r="K265">
        <f>IF($B265="",0,IF(Suche!$B$4="",1,IF(ISNUMBER(SEARCH(Suche!$B$4,$B265&amp;" "&amp;$C265&amp;" "&amp;$G265)),1,0)))</f>
        <v/>
      </c>
      <c r="L265">
        <f>IF($K265=0,"",SUM($K$5:$K265))</f>
        <v/>
      </c>
    </row>
    <row r="266">
      <c r="A266" s="15" t="inlineStr">
        <is>
          <t>30-010</t>
        </is>
      </c>
      <c r="B266" s="16" t="inlineStr">
        <is>
          <t>Sauvignon Blanc QbA trocken 0,75 l</t>
        </is>
      </c>
      <c r="C266" s="17" t="inlineStr">
        <is>
          <t>Wein – Weiß</t>
        </is>
      </c>
      <c r="D266" s="17" t="inlineStr">
        <is>
          <t>Karton 6 × 0,75 l</t>
        </is>
      </c>
      <c r="E266" s="15" t="inlineStr">
        <is>
          <t>Flasche</t>
        </is>
      </c>
      <c r="F266" s="17" t="inlineStr">
        <is>
          <t>6 Flaschen/Karton</t>
        </is>
      </c>
      <c r="G266" s="17" t="inlineStr">
        <is>
          <t>Weinhandel</t>
        </is>
      </c>
      <c r="H266" s="17" t="inlineStr">
        <is>
          <t>Weinkeller</t>
        </is>
      </c>
      <c r="I266" s="17" t="inlineStr"/>
      <c r="K266">
        <f>IF($B266="",0,IF(Suche!$B$4="",1,IF(ISNUMBER(SEARCH(Suche!$B$4,$B266&amp;" "&amp;$C266&amp;" "&amp;$G266)),1,0)))</f>
        <v/>
      </c>
      <c r="L266">
        <f>IF($K266=0,"",SUM($K$5:$K266))</f>
        <v/>
      </c>
    </row>
    <row r="267">
      <c r="A267" s="12" t="inlineStr">
        <is>
          <t>30-012</t>
        </is>
      </c>
      <c r="B267" s="13" t="inlineStr">
        <is>
          <t>Scheurebe Spätlese lieblich 0,75 l</t>
        </is>
      </c>
      <c r="C267" s="14" t="inlineStr">
        <is>
          <t>Wein – Weiß</t>
        </is>
      </c>
      <c r="D267" s="14" t="inlineStr">
        <is>
          <t>Karton 6 × 0,75 l</t>
        </is>
      </c>
      <c r="E267" s="12" t="inlineStr">
        <is>
          <t>Flasche</t>
        </is>
      </c>
      <c r="F267" s="14" t="inlineStr">
        <is>
          <t>6 Flaschen/Karton</t>
        </is>
      </c>
      <c r="G267" s="14" t="inlineStr">
        <is>
          <t>Weinhandel</t>
        </is>
      </c>
      <c r="H267" s="14" t="inlineStr">
        <is>
          <t>Weinkeller</t>
        </is>
      </c>
      <c r="I267" s="14" t="inlineStr"/>
      <c r="K267">
        <f>IF($B267="",0,IF(Suche!$B$4="",1,IF(ISNUMBER(SEARCH(Suche!$B$4,$B267&amp;" "&amp;$C267&amp;" "&amp;$G267)),1,0)))</f>
        <v/>
      </c>
      <c r="L267">
        <f>IF($K267=0,"",SUM($K$5:$K267))</f>
        <v/>
      </c>
    </row>
    <row r="268">
      <c r="A268" s="15" t="inlineStr">
        <is>
          <t>72-006</t>
        </is>
      </c>
      <c r="B268" s="16" t="inlineStr">
        <is>
          <t>Schlagsahne 32 % 1 l</t>
        </is>
      </c>
      <c r="C268" s="17" t="inlineStr">
        <is>
          <t>Küche – Kühlhaus</t>
        </is>
      </c>
      <c r="D268" s="17" t="inlineStr">
        <is>
          <t>Karton 12 × 1 l</t>
        </is>
      </c>
      <c r="E268" s="15" t="inlineStr">
        <is>
          <t>l</t>
        </is>
      </c>
      <c r="F268" s="17" t="inlineStr">
        <is>
          <t>12 l/Karton</t>
        </is>
      </c>
      <c r="G268" s="17" t="inlineStr">
        <is>
          <t>Lebensmittelgroßhandel</t>
        </is>
      </c>
      <c r="H268" s="17" t="inlineStr">
        <is>
          <t>Kühlhaus</t>
        </is>
      </c>
      <c r="I268" s="17" t="inlineStr"/>
      <c r="K268">
        <f>IF($B268="",0,IF(Suche!$B$4="",1,IF(ISNUMBER(SEARCH(Suche!$B$4,$B268&amp;" "&amp;$C268&amp;" "&amp;$G268)),1,0)))</f>
        <v/>
      </c>
      <c r="L268">
        <f>IF($K268=0,"",SUM($K$5:$K268))</f>
        <v/>
      </c>
    </row>
    <row r="269">
      <c r="A269" s="12" t="inlineStr">
        <is>
          <t>72-008</t>
        </is>
      </c>
      <c r="B269" s="13" t="inlineStr">
        <is>
          <t>Schmand 500 g</t>
        </is>
      </c>
      <c r="C269" s="14" t="inlineStr">
        <is>
          <t>Küche – Kühlhaus</t>
        </is>
      </c>
      <c r="D269" s="14" t="inlineStr">
        <is>
          <t>Becher 500 g</t>
        </is>
      </c>
      <c r="E269" s="12" t="inlineStr">
        <is>
          <t>Stück</t>
        </is>
      </c>
      <c r="F269" s="14" t="inlineStr">
        <is>
          <t>1 Becher</t>
        </is>
      </c>
      <c r="G269" s="14" t="inlineStr">
        <is>
          <t>Lebensmittelgroßhandel</t>
        </is>
      </c>
      <c r="H269" s="14" t="inlineStr">
        <is>
          <t>Kühlhaus</t>
        </is>
      </c>
      <c r="I269" s="14" t="inlineStr"/>
      <c r="K269">
        <f>IF($B269="",0,IF(Suche!$B$4="",1,IF(ISNUMBER(SEARCH(Suche!$B$4,$B269&amp;" "&amp;$C269&amp;" "&amp;$G269)),1,0)))</f>
        <v/>
      </c>
      <c r="L269">
        <f>IF($K269=0,"",SUM($K$5:$K269))</f>
        <v/>
      </c>
    </row>
    <row r="270">
      <c r="A270" s="15" t="inlineStr">
        <is>
          <t>73-014</t>
        </is>
      </c>
      <c r="B270" s="16" t="inlineStr">
        <is>
          <t>Schokoladeneis 5 l</t>
        </is>
      </c>
      <c r="C270" s="17" t="inlineStr">
        <is>
          <t>Küche – Tiefkühl</t>
        </is>
      </c>
      <c r="D270" s="17" t="inlineStr">
        <is>
          <t>Behälter 5 l</t>
        </is>
      </c>
      <c r="E270" s="15" t="inlineStr">
        <is>
          <t>l</t>
        </is>
      </c>
      <c r="F270" s="17" t="inlineStr">
        <is>
          <t>5 l/Behälter</t>
        </is>
      </c>
      <c r="G270" s="17" t="inlineStr">
        <is>
          <t>Lebensmittelgroßhandel</t>
        </is>
      </c>
      <c r="H270" s="17" t="inlineStr">
        <is>
          <t>Tiefkühllager</t>
        </is>
      </c>
      <c r="I270" s="17" t="inlineStr"/>
      <c r="K270">
        <f>IF($B270="",0,IF(Suche!$B$4="",1,IF(ISNUMBER(SEARCH(Suche!$B$4,$B270&amp;" "&amp;$C270&amp;" "&amp;$G270)),1,0)))</f>
        <v/>
      </c>
      <c r="L270">
        <f>IF($K270=0,"",SUM($K$5:$K270))</f>
        <v/>
      </c>
    </row>
    <row r="271">
      <c r="A271" s="12" t="inlineStr">
        <is>
          <t>80-008</t>
        </is>
      </c>
      <c r="B271" s="13" t="inlineStr">
        <is>
          <t>Schuhputzschwamm</t>
        </is>
      </c>
      <c r="C271" s="14" t="inlineStr">
        <is>
          <t>Housekeeping – Gästeartikel</t>
        </is>
      </c>
      <c r="D271" s="14" t="inlineStr">
        <is>
          <t>Karton 500 Stück</t>
        </is>
      </c>
      <c r="E271" s="12" t="inlineStr">
        <is>
          <t>Stück</t>
        </is>
      </c>
      <c r="F271" s="14" t="inlineStr">
        <is>
          <t>500 Stück/Karton</t>
        </is>
      </c>
      <c r="G271" s="14" t="inlineStr">
        <is>
          <t>Hygiene- &amp; Reinigungsbedarf</t>
        </is>
      </c>
      <c r="H271" s="14" t="inlineStr">
        <is>
          <t>Housekeeping</t>
        </is>
      </c>
      <c r="I271" s="14" t="inlineStr"/>
      <c r="K271">
        <f>IF($B271="",0,IF(Suche!$B$4="",1,IF(ISNUMBER(SEARCH(Suche!$B$4,$B271&amp;" "&amp;$C271&amp;" "&amp;$G271)),1,0)))</f>
        <v/>
      </c>
      <c r="L271">
        <f>IF($K271=0,"",SUM($K$5:$K271))</f>
        <v/>
      </c>
    </row>
    <row r="272">
      <c r="A272" s="15" t="inlineStr">
        <is>
          <t>32-003</t>
        </is>
      </c>
      <c r="B272" s="16" t="inlineStr">
        <is>
          <t>Schwarzriesling QbA trocken 0,75 l</t>
        </is>
      </c>
      <c r="C272" s="17" t="inlineStr">
        <is>
          <t>Wein – Rot</t>
        </is>
      </c>
      <c r="D272" s="17" t="inlineStr">
        <is>
          <t>Karton 6 × 0,75 l</t>
        </is>
      </c>
      <c r="E272" s="15" t="inlineStr">
        <is>
          <t>Flasche</t>
        </is>
      </c>
      <c r="F272" s="17" t="inlineStr">
        <is>
          <t>6 Flaschen/Karton</t>
        </is>
      </c>
      <c r="G272" s="17" t="inlineStr">
        <is>
          <t>Weinhandel</t>
        </is>
      </c>
      <c r="H272" s="17" t="inlineStr">
        <is>
          <t>Weinkeller</t>
        </is>
      </c>
      <c r="I272" s="17" t="inlineStr"/>
      <c r="K272">
        <f>IF($B272="",0,IF(Suche!$B$4="",1,IF(ISNUMBER(SEARCH(Suche!$B$4,$B272&amp;" "&amp;$C272&amp;" "&amp;$G272)),1,0)))</f>
        <v/>
      </c>
      <c r="L272">
        <f>IF($K272=0,"",SUM($K$5:$K272))</f>
        <v/>
      </c>
    </row>
    <row r="273">
      <c r="A273" s="12" t="inlineStr">
        <is>
          <t>51-003</t>
        </is>
      </c>
      <c r="B273" s="13" t="inlineStr">
        <is>
          <t>Schwarztee Darjeeling Teebeutel</t>
        </is>
      </c>
      <c r="C273" s="14" t="inlineStr">
        <is>
          <t>Heißgetränke – Tee &amp; Kakao</t>
        </is>
      </c>
      <c r="D273" s="14" t="inlineStr">
        <is>
          <t>Karton 25 Beutel</t>
        </is>
      </c>
      <c r="E273" s="12" t="inlineStr">
        <is>
          <t>Packung</t>
        </is>
      </c>
      <c r="F273" s="14" t="inlineStr">
        <is>
          <t>25 Beutel/Packung</t>
        </is>
      </c>
      <c r="G273" s="14" t="inlineStr">
        <is>
          <t>Kaffeelieferant</t>
        </is>
      </c>
      <c r="H273" s="14" t="inlineStr">
        <is>
          <t>Trockenlager</t>
        </is>
      </c>
      <c r="I273" s="14" t="inlineStr"/>
      <c r="K273">
        <f>IF($B273="",0,IF(Suche!$B$4="",1,IF(ISNUMBER(SEARCH(Suche!$B$4,$B273&amp;" "&amp;$C273&amp;" "&amp;$G273)),1,0)))</f>
        <v/>
      </c>
      <c r="L273">
        <f>IF($K273=0,"",SUM($K$5:$K273))</f>
        <v/>
      </c>
    </row>
    <row r="274">
      <c r="A274" s="15" t="inlineStr">
        <is>
          <t>51-001</t>
        </is>
      </c>
      <c r="B274" s="16" t="inlineStr">
        <is>
          <t>Schwarztee Earl Grey Teebeutel</t>
        </is>
      </c>
      <c r="C274" s="17" t="inlineStr">
        <is>
          <t>Heißgetränke – Tee &amp; Kakao</t>
        </is>
      </c>
      <c r="D274" s="17" t="inlineStr">
        <is>
          <t>Karton 25 Beutel</t>
        </is>
      </c>
      <c r="E274" s="15" t="inlineStr">
        <is>
          <t>Packung</t>
        </is>
      </c>
      <c r="F274" s="17" t="inlineStr">
        <is>
          <t>25 Beutel/Packung</t>
        </is>
      </c>
      <c r="G274" s="17" t="inlineStr">
        <is>
          <t>Kaffeelieferant</t>
        </is>
      </c>
      <c r="H274" s="17" t="inlineStr">
        <is>
          <t>Trockenlager</t>
        </is>
      </c>
      <c r="I274" s="17" t="inlineStr"/>
      <c r="K274">
        <f>IF($B274="",0,IF(Suche!$B$4="",1,IF(ISNUMBER(SEARCH(Suche!$B$4,$B274&amp;" "&amp;$C274&amp;" "&amp;$G274)),1,0)))</f>
        <v/>
      </c>
      <c r="L274">
        <f>IF($K274=0,"",SUM($K$5:$K274))</f>
        <v/>
      </c>
    </row>
    <row r="275">
      <c r="A275" s="12" t="inlineStr">
        <is>
          <t>51-002</t>
        </is>
      </c>
      <c r="B275" s="13" t="inlineStr">
        <is>
          <t>Schwarztee English Breakfast Teebeutel</t>
        </is>
      </c>
      <c r="C275" s="14" t="inlineStr">
        <is>
          <t>Heißgetränke – Tee &amp; Kakao</t>
        </is>
      </c>
      <c r="D275" s="14" t="inlineStr">
        <is>
          <t>Karton 25 Beutel</t>
        </is>
      </c>
      <c r="E275" s="12" t="inlineStr">
        <is>
          <t>Packung</t>
        </is>
      </c>
      <c r="F275" s="14" t="inlineStr">
        <is>
          <t>25 Beutel/Packung</t>
        </is>
      </c>
      <c r="G275" s="14" t="inlineStr">
        <is>
          <t>Kaffeelieferant</t>
        </is>
      </c>
      <c r="H275" s="14" t="inlineStr">
        <is>
          <t>Trockenlager</t>
        </is>
      </c>
      <c r="I275" s="14" t="inlineStr"/>
      <c r="K275">
        <f>IF($B275="",0,IF(Suche!$B$4="",1,IF(ISNUMBER(SEARCH(Suche!$B$4,$B275&amp;" "&amp;$C275&amp;" "&amp;$G275)),1,0)))</f>
        <v/>
      </c>
      <c r="L275">
        <f>IF($K275=0,"",SUM($K$5:$K275))</f>
        <v/>
      </c>
    </row>
    <row r="276">
      <c r="A276" s="15" t="inlineStr">
        <is>
          <t>72-015</t>
        </is>
      </c>
      <c r="B276" s="16" t="inlineStr">
        <is>
          <t>Schwarzwälder Bergkäse am Stück</t>
        </is>
      </c>
      <c r="C276" s="17" t="inlineStr">
        <is>
          <t>Küche – Kühlhaus</t>
        </is>
      </c>
      <c r="D276" s="17" t="inlineStr">
        <is>
          <t>Stück ca. 3 kg</t>
        </is>
      </c>
      <c r="E276" s="15" t="inlineStr">
        <is>
          <t>kg</t>
        </is>
      </c>
      <c r="F276" s="17" t="inlineStr">
        <is>
          <t>ca. 3 kg/Stück</t>
        </is>
      </c>
      <c r="G276" s="17" t="inlineStr">
        <is>
          <t>Lebensmittelgroßhandel</t>
        </is>
      </c>
      <c r="H276" s="17" t="inlineStr">
        <is>
          <t>Kühlhaus</t>
        </is>
      </c>
      <c r="I276" s="17" t="inlineStr"/>
      <c r="K276">
        <f>IF($B276="",0,IF(Suche!$B$4="",1,IF(ISNUMBER(SEARCH(Suche!$B$4,$B276&amp;" "&amp;$C276&amp;" "&amp;$G276)),1,0)))</f>
        <v/>
      </c>
      <c r="L276">
        <f>IF($K276=0,"",SUM($K$5:$K276))</f>
        <v/>
      </c>
    </row>
    <row r="277">
      <c r="A277" s="12" t="inlineStr">
        <is>
          <t>40-001</t>
        </is>
      </c>
      <c r="B277" s="13" t="inlineStr">
        <is>
          <t>Schwarzwälder Kirschwasser 0,7 l</t>
        </is>
      </c>
      <c r="C277" s="14" t="inlineStr">
        <is>
          <t>Spirituosen – Obstbrände</t>
        </is>
      </c>
      <c r="D277" s="14" t="inlineStr">
        <is>
          <t>Flasche 0,7 l</t>
        </is>
      </c>
      <c r="E277" s="12" t="inlineStr">
        <is>
          <t>Flasche</t>
        </is>
      </c>
      <c r="F277" s="14" t="inlineStr">
        <is>
          <t>1 Flasche</t>
        </is>
      </c>
      <c r="G277" s="14" t="inlineStr">
        <is>
          <t>Spirituosenhandel</t>
        </is>
      </c>
      <c r="H277" s="14" t="inlineStr">
        <is>
          <t>Keller</t>
        </is>
      </c>
      <c r="I277" s="14" t="inlineStr"/>
      <c r="K277">
        <f>IF($B277="",0,IF(Suche!$B$4="",1,IF(ISNUMBER(SEARCH(Suche!$B$4,$B277&amp;" "&amp;$C277&amp;" "&amp;$G277)),1,0)))</f>
        <v/>
      </c>
      <c r="L277">
        <f>IF($K277=0,"",SUM($K$5:$K277))</f>
        <v/>
      </c>
    </row>
    <row r="278">
      <c r="A278" s="15" t="inlineStr">
        <is>
          <t>72-020</t>
        </is>
      </c>
      <c r="B278" s="16" t="inlineStr">
        <is>
          <t>Schwarzwälder Schinken am Stück</t>
        </is>
      </c>
      <c r="C278" s="17" t="inlineStr">
        <is>
          <t>Küche – Kühlhaus</t>
        </is>
      </c>
      <c r="D278" s="17" t="inlineStr">
        <is>
          <t>Stück ca. 1 kg</t>
        </is>
      </c>
      <c r="E278" s="15" t="inlineStr">
        <is>
          <t>kg</t>
        </is>
      </c>
      <c r="F278" s="17" t="inlineStr">
        <is>
          <t>ca. 1 kg/Stück</t>
        </is>
      </c>
      <c r="G278" s="17" t="inlineStr">
        <is>
          <t>Lebensmittelgroßhandel</t>
        </is>
      </c>
      <c r="H278" s="17" t="inlineStr">
        <is>
          <t>Kühlhaus</t>
        </is>
      </c>
      <c r="I278" s="17" t="inlineStr"/>
      <c r="K278">
        <f>IF($B278="",0,IF(Suche!$B$4="",1,IF(ISNUMBER(SEARCH(Suche!$B$4,$B278&amp;" "&amp;$C278&amp;" "&amp;$G278)),1,0)))</f>
        <v/>
      </c>
      <c r="L278">
        <f>IF($K278=0,"",SUM($K$5:$K278))</f>
        <v/>
      </c>
    </row>
    <row r="279">
      <c r="A279" s="12" t="inlineStr">
        <is>
          <t>11-014</t>
        </is>
      </c>
      <c r="B279" s="13" t="inlineStr">
        <is>
          <t>Schweppes Bitter Lemon 0,2 l Glas</t>
        </is>
      </c>
      <c r="C279" s="14" t="inlineStr">
        <is>
          <t>AFG – Limonaden</t>
        </is>
      </c>
      <c r="D279" s="14" t="inlineStr">
        <is>
          <t>Kasten 24 × 0,2 l</t>
        </is>
      </c>
      <c r="E279" s="12" t="inlineStr">
        <is>
          <t>Flasche</t>
        </is>
      </c>
      <c r="F279" s="14" t="inlineStr">
        <is>
          <t>24 Flaschen/Kasten</t>
        </is>
      </c>
      <c r="G279" s="14" t="inlineStr">
        <is>
          <t>Getränkefachgroßhandel</t>
        </is>
      </c>
      <c r="H279" s="14" t="inlineStr">
        <is>
          <t>Getränkelager</t>
        </is>
      </c>
      <c r="I279" s="14" t="inlineStr"/>
      <c r="K279">
        <f>IF($B279="",0,IF(Suche!$B$4="",1,IF(ISNUMBER(SEARCH(Suche!$B$4,$B279&amp;" "&amp;$C279&amp;" "&amp;$G279)),1,0)))</f>
        <v/>
      </c>
      <c r="L279">
        <f>IF($K279=0,"",SUM($K$5:$K279))</f>
        <v/>
      </c>
    </row>
    <row r="280">
      <c r="A280" s="15" t="inlineStr">
        <is>
          <t>11-015</t>
        </is>
      </c>
      <c r="B280" s="16" t="inlineStr">
        <is>
          <t>Schweppes Ginger Ale 0,2 l Glas</t>
        </is>
      </c>
      <c r="C280" s="17" t="inlineStr">
        <is>
          <t>AFG – Limonaden</t>
        </is>
      </c>
      <c r="D280" s="17" t="inlineStr">
        <is>
          <t>Kasten 24 × 0,2 l</t>
        </is>
      </c>
      <c r="E280" s="15" t="inlineStr">
        <is>
          <t>Flasche</t>
        </is>
      </c>
      <c r="F280" s="17" t="inlineStr">
        <is>
          <t>24 Flaschen/Kasten</t>
        </is>
      </c>
      <c r="G280" s="17" t="inlineStr">
        <is>
          <t>Getränkefachgroßhandel</t>
        </is>
      </c>
      <c r="H280" s="17" t="inlineStr">
        <is>
          <t>Getränkelager</t>
        </is>
      </c>
      <c r="I280" s="17" t="inlineStr"/>
      <c r="K280">
        <f>IF($B280="",0,IF(Suche!$B$4="",1,IF(ISNUMBER(SEARCH(Suche!$B$4,$B280&amp;" "&amp;$C280&amp;" "&amp;$G280)),1,0)))</f>
        <v/>
      </c>
      <c r="L280">
        <f>IF($K280=0,"",SUM($K$5:$K280))</f>
        <v/>
      </c>
    </row>
    <row r="281">
      <c r="A281" s="12" t="inlineStr">
        <is>
          <t>11-016</t>
        </is>
      </c>
      <c r="B281" s="13" t="inlineStr">
        <is>
          <t>Schweppes Russian Wild Berry 0,2 l Glas</t>
        </is>
      </c>
      <c r="C281" s="14" t="inlineStr">
        <is>
          <t>AFG – Limonaden</t>
        </is>
      </c>
      <c r="D281" s="14" t="inlineStr">
        <is>
          <t>Kasten 24 × 0,2 l</t>
        </is>
      </c>
      <c r="E281" s="12" t="inlineStr">
        <is>
          <t>Flasche</t>
        </is>
      </c>
      <c r="F281" s="14" t="inlineStr">
        <is>
          <t>24 Flaschen/Kasten</t>
        </is>
      </c>
      <c r="G281" s="14" t="inlineStr">
        <is>
          <t>Getränkefachgroßhandel</t>
        </is>
      </c>
      <c r="H281" s="14" t="inlineStr">
        <is>
          <t>Getränkelager</t>
        </is>
      </c>
      <c r="I281" s="14" t="inlineStr"/>
      <c r="K281">
        <f>IF($B281="",0,IF(Suche!$B$4="",1,IF(ISNUMBER(SEARCH(Suche!$B$4,$B281&amp;" "&amp;$C281&amp;" "&amp;$G281)),1,0)))</f>
        <v/>
      </c>
      <c r="L281">
        <f>IF($K281=0,"",SUM($K$5:$K281))</f>
        <v/>
      </c>
    </row>
    <row r="282">
      <c r="A282" s="15" t="inlineStr">
        <is>
          <t>11-013</t>
        </is>
      </c>
      <c r="B282" s="16" t="inlineStr">
        <is>
          <t>Schweppes Tonic Water 0,2 l Glas</t>
        </is>
      </c>
      <c r="C282" s="17" t="inlineStr">
        <is>
          <t>AFG – Limonaden</t>
        </is>
      </c>
      <c r="D282" s="17" t="inlineStr">
        <is>
          <t>Kasten 24 × 0,2 l</t>
        </is>
      </c>
      <c r="E282" s="15" t="inlineStr">
        <is>
          <t>Flasche</t>
        </is>
      </c>
      <c r="F282" s="17" t="inlineStr">
        <is>
          <t>24 Flaschen/Kasten</t>
        </is>
      </c>
      <c r="G282" s="17" t="inlineStr">
        <is>
          <t>Getränkefachgroßhandel</t>
        </is>
      </c>
      <c r="H282" s="17" t="inlineStr">
        <is>
          <t>Getränkelager</t>
        </is>
      </c>
      <c r="I282" s="17" t="inlineStr"/>
      <c r="K282">
        <f>IF($B282="",0,IF(Suche!$B$4="",1,IF(ISNUMBER(SEARCH(Suche!$B$4,$B282&amp;" "&amp;$C282&amp;" "&amp;$G282)),1,0)))</f>
        <v/>
      </c>
      <c r="L282">
        <f>IF($K282=0,"",SUM($K$5:$K282))</f>
        <v/>
      </c>
    </row>
    <row r="283">
      <c r="A283" s="12" t="inlineStr">
        <is>
          <t>33-004</t>
        </is>
      </c>
      <c r="B283" s="13" t="inlineStr">
        <is>
          <t>Sekt Piccolo 0,2 l</t>
        </is>
      </c>
      <c r="C283" s="14" t="inlineStr">
        <is>
          <t>Sekt &amp; Champagner</t>
        </is>
      </c>
      <c r="D283" s="14" t="inlineStr">
        <is>
          <t>Karton 24 × 0,2 l</t>
        </is>
      </c>
      <c r="E283" s="12" t="inlineStr">
        <is>
          <t>Flasche</t>
        </is>
      </c>
      <c r="F283" s="14" t="inlineStr">
        <is>
          <t>24 Flaschen/Karton</t>
        </is>
      </c>
      <c r="G283" s="14" t="inlineStr">
        <is>
          <t>Weinhandel</t>
        </is>
      </c>
      <c r="H283" s="14" t="inlineStr">
        <is>
          <t>Weinkeller</t>
        </is>
      </c>
      <c r="I283" s="14" t="inlineStr"/>
      <c r="K283">
        <f>IF($B283="",0,IF(Suche!$B$4="",1,IF(ISNUMBER(SEARCH(Suche!$B$4,$B283&amp;" "&amp;$C283&amp;" "&amp;$G283)),1,0)))</f>
        <v/>
      </c>
      <c r="L283">
        <f>IF($K283=0,"",SUM($K$5:$K283))</f>
        <v/>
      </c>
    </row>
    <row r="284">
      <c r="A284" s="15" t="inlineStr">
        <is>
          <t>70-029</t>
        </is>
      </c>
      <c r="B284" s="16" t="inlineStr">
        <is>
          <t>Semmelbrösel 5 kg</t>
        </is>
      </c>
      <c r="C284" s="17" t="inlineStr">
        <is>
          <t>Küche – Trockenlager</t>
        </is>
      </c>
      <c r="D284" s="17" t="inlineStr">
        <is>
          <t>Karton 5 kg</t>
        </is>
      </c>
      <c r="E284" s="15" t="inlineStr">
        <is>
          <t>kg</t>
        </is>
      </c>
      <c r="F284" s="17" t="inlineStr">
        <is>
          <t>5 kg/Karton</t>
        </is>
      </c>
      <c r="G284" s="17" t="inlineStr">
        <is>
          <t>Lebensmittelgroßhandel</t>
        </is>
      </c>
      <c r="H284" s="17" t="inlineStr">
        <is>
          <t>Trockenlager</t>
        </is>
      </c>
      <c r="I284" s="17" t="inlineStr"/>
      <c r="K284">
        <f>IF($B284="",0,IF(Suche!$B$4="",1,IF(ISNUMBER(SEARCH(Suche!$B$4,$B284&amp;" "&amp;$C284&amp;" "&amp;$G284)),1,0)))</f>
        <v/>
      </c>
      <c r="L284">
        <f>IF($K284=0,"",SUM($K$5:$K284))</f>
        <v/>
      </c>
    </row>
    <row r="285">
      <c r="A285" s="12" t="inlineStr">
        <is>
          <t>71-011</t>
        </is>
      </c>
      <c r="B285" s="13" t="inlineStr">
        <is>
          <t>Senf mittelscharf 5 kg</t>
        </is>
      </c>
      <c r="C285" s="14" t="inlineStr">
        <is>
          <t>Küche – Konserven &amp; Saucen</t>
        </is>
      </c>
      <c r="D285" s="14" t="inlineStr">
        <is>
          <t>Eimer 5 kg</t>
        </is>
      </c>
      <c r="E285" s="12" t="inlineStr">
        <is>
          <t>Eimer</t>
        </is>
      </c>
      <c r="F285" s="14" t="inlineStr">
        <is>
          <t>5 kg/Eimer</t>
        </is>
      </c>
      <c r="G285" s="14" t="inlineStr">
        <is>
          <t>Lebensmittelgroßhandel</t>
        </is>
      </c>
      <c r="H285" s="14" t="inlineStr">
        <is>
          <t>Trockenlager</t>
        </is>
      </c>
      <c r="I285" s="14" t="inlineStr"/>
      <c r="K285">
        <f>IF($B285="",0,IF(Suche!$B$4="",1,IF(ISNUMBER(SEARCH(Suche!$B$4,$B285&amp;" "&amp;$C285&amp;" "&amp;$G285)),1,0)))</f>
        <v/>
      </c>
      <c r="L285">
        <f>IF($K285=0,"",SUM($K$5:$K285))</f>
        <v/>
      </c>
    </row>
    <row r="286">
      <c r="A286" s="15" t="inlineStr">
        <is>
          <t>90-001</t>
        </is>
      </c>
      <c r="B286" s="16" t="inlineStr">
        <is>
          <t>Servietten Papier 33 × 33 cm weiß</t>
        </is>
      </c>
      <c r="C286" s="17" t="inlineStr">
        <is>
          <t>Verbrauchsmaterial Service</t>
        </is>
      </c>
      <c r="D286" s="17" t="inlineStr">
        <is>
          <t>Karton 2000 Stück</t>
        </is>
      </c>
      <c r="E286" s="15" t="inlineStr">
        <is>
          <t>Karton</t>
        </is>
      </c>
      <c r="F286" s="17" t="inlineStr">
        <is>
          <t>2000 Stück/Karton</t>
        </is>
      </c>
      <c r="G286" s="17" t="inlineStr">
        <is>
          <t>Lebensmittelgroßhandel</t>
        </is>
      </c>
      <c r="H286" s="17" t="inlineStr">
        <is>
          <t>Keller</t>
        </is>
      </c>
      <c r="I286" s="17" t="inlineStr"/>
      <c r="K286">
        <f>IF($B286="",0,IF(Suche!$B$4="",1,IF(ISNUMBER(SEARCH(Suche!$B$4,$B286&amp;" "&amp;$C286&amp;" "&amp;$G286)),1,0)))</f>
        <v/>
      </c>
      <c r="L286">
        <f>IF($K286=0,"",SUM($K$5:$K286))</f>
        <v/>
      </c>
    </row>
    <row r="287">
      <c r="A287" s="12" t="inlineStr">
        <is>
          <t>90-002</t>
        </is>
      </c>
      <c r="B287" s="13" t="inlineStr">
        <is>
          <t>Servietten Papier 40 × 40 cm weiß</t>
        </is>
      </c>
      <c r="C287" s="14" t="inlineStr">
        <is>
          <t>Verbrauchsmaterial Service</t>
        </is>
      </c>
      <c r="D287" s="14" t="inlineStr">
        <is>
          <t>Karton 1000 Stück</t>
        </is>
      </c>
      <c r="E287" s="12" t="inlineStr">
        <is>
          <t>Karton</t>
        </is>
      </c>
      <c r="F287" s="14" t="inlineStr">
        <is>
          <t>1000 Stück/Karton</t>
        </is>
      </c>
      <c r="G287" s="14" t="inlineStr">
        <is>
          <t>Lebensmittelgroßhandel</t>
        </is>
      </c>
      <c r="H287" s="14" t="inlineStr">
        <is>
          <t>Keller</t>
        </is>
      </c>
      <c r="I287" s="14" t="inlineStr"/>
      <c r="K287">
        <f>IF($B287="",0,IF(Suche!$B$4="",1,IF(ISNUMBER(SEARCH(Suche!$B$4,$B287&amp;" "&amp;$C287&amp;" "&amp;$G287)),1,0)))</f>
        <v/>
      </c>
      <c r="L287">
        <f>IF($K287=0,"",SUM($K$5:$K287))</f>
        <v/>
      </c>
    </row>
    <row r="288">
      <c r="A288" s="15" t="inlineStr">
        <is>
          <t>80-002</t>
        </is>
      </c>
      <c r="B288" s="16" t="inlineStr">
        <is>
          <t>Shampoo Spender 300 ml</t>
        </is>
      </c>
      <c r="C288" s="17" t="inlineStr">
        <is>
          <t>Housekeeping – Gästeartikel</t>
        </is>
      </c>
      <c r="D288" s="17" t="inlineStr">
        <is>
          <t>Karton 20 Stück</t>
        </is>
      </c>
      <c r="E288" s="15" t="inlineStr">
        <is>
          <t>Stück</t>
        </is>
      </c>
      <c r="F288" s="17" t="inlineStr">
        <is>
          <t>20 Stück/Karton</t>
        </is>
      </c>
      <c r="G288" s="17" t="inlineStr">
        <is>
          <t>Hygiene- &amp; Reinigungsbedarf</t>
        </is>
      </c>
      <c r="H288" s="17" t="inlineStr">
        <is>
          <t>Housekeeping</t>
        </is>
      </c>
      <c r="I288" s="17" t="inlineStr"/>
      <c r="K288">
        <f>IF($B288="",0,IF(Suche!$B$4="",1,IF(ISNUMBER(SEARCH(Suche!$B$4,$B288&amp;" "&amp;$C288&amp;" "&amp;$G288)),1,0)))</f>
        <v/>
      </c>
      <c r="L288">
        <f>IF($K288=0,"",SUM($K$5:$K288))</f>
        <v/>
      </c>
    </row>
    <row r="289">
      <c r="A289" s="12" t="inlineStr">
        <is>
          <t>43-006</t>
        </is>
      </c>
      <c r="B289" s="13" t="inlineStr">
        <is>
          <t>Sierra Tequila Reposado 0,7 l</t>
        </is>
      </c>
      <c r="C289" s="14" t="inlineStr">
        <is>
          <t>Spirituosen – Rum &amp; Tequila</t>
        </is>
      </c>
      <c r="D289" s="14" t="inlineStr">
        <is>
          <t>Flasche 0,7 l</t>
        </is>
      </c>
      <c r="E289" s="12" t="inlineStr">
        <is>
          <t>Flasche</t>
        </is>
      </c>
      <c r="F289" s="14" t="inlineStr">
        <is>
          <t>1 Flasche</t>
        </is>
      </c>
      <c r="G289" s="14" t="inlineStr">
        <is>
          <t>Spirituosenhandel</t>
        </is>
      </c>
      <c r="H289" s="14" t="inlineStr">
        <is>
          <t>Keller</t>
        </is>
      </c>
      <c r="I289" s="14" t="inlineStr"/>
      <c r="K289">
        <f>IF($B289="",0,IF(Suche!$B$4="",1,IF(ISNUMBER(SEARCH(Suche!$B$4,$B289&amp;" "&amp;$C289&amp;" "&amp;$G289)),1,0)))</f>
        <v/>
      </c>
      <c r="L289">
        <f>IF($K289=0,"",SUM($K$5:$K289))</f>
        <v/>
      </c>
    </row>
    <row r="290">
      <c r="A290" s="15" t="inlineStr">
        <is>
          <t>43-005</t>
        </is>
      </c>
      <c r="B290" s="16" t="inlineStr">
        <is>
          <t>Sierra Tequila Silver 0,7 l</t>
        </is>
      </c>
      <c r="C290" s="17" t="inlineStr">
        <is>
          <t>Spirituosen – Rum &amp; Tequila</t>
        </is>
      </c>
      <c r="D290" s="17" t="inlineStr">
        <is>
          <t>Flasche 0,7 l</t>
        </is>
      </c>
      <c r="E290" s="15" t="inlineStr">
        <is>
          <t>Flasche</t>
        </is>
      </c>
      <c r="F290" s="17" t="inlineStr">
        <is>
          <t>1 Flasche</t>
        </is>
      </c>
      <c r="G290" s="17" t="inlineStr">
        <is>
          <t>Spirituosenhandel</t>
        </is>
      </c>
      <c r="H290" s="17" t="inlineStr">
        <is>
          <t>Keller</t>
        </is>
      </c>
      <c r="I290" s="17" t="inlineStr"/>
      <c r="K290">
        <f>IF($B290="",0,IF(Suche!$B$4="",1,IF(ISNUMBER(SEARCH(Suche!$B$4,$B290&amp;" "&amp;$C290&amp;" "&amp;$G290)),1,0)))</f>
        <v/>
      </c>
      <c r="L290">
        <f>IF($K290=0,"",SUM($K$5:$K290))</f>
        <v/>
      </c>
    </row>
    <row r="291">
      <c r="A291" s="12" t="inlineStr">
        <is>
          <t>30-011</t>
        </is>
      </c>
      <c r="B291" s="13" t="inlineStr">
        <is>
          <t>Silvaner QbA trocken 0,75 l</t>
        </is>
      </c>
      <c r="C291" s="14" t="inlineStr">
        <is>
          <t>Wein – Weiß</t>
        </is>
      </c>
      <c r="D291" s="14" t="inlineStr">
        <is>
          <t>Karton 6 × 0,75 l</t>
        </is>
      </c>
      <c r="E291" s="12" t="inlineStr">
        <is>
          <t>Flasche</t>
        </is>
      </c>
      <c r="F291" s="14" t="inlineStr">
        <is>
          <t>6 Flaschen/Karton</t>
        </is>
      </c>
      <c r="G291" s="14" t="inlineStr">
        <is>
          <t>Weinhandel</t>
        </is>
      </c>
      <c r="H291" s="14" t="inlineStr">
        <is>
          <t>Weinkeller</t>
        </is>
      </c>
      <c r="I291" s="14" t="inlineStr"/>
      <c r="K291">
        <f>IF($B291="",0,IF(Suche!$B$4="",1,IF(ISNUMBER(SEARCH(Suche!$B$4,$B291&amp;" "&amp;$C291&amp;" "&amp;$G291)),1,0)))</f>
        <v/>
      </c>
      <c r="L291">
        <f>IF($K291=0,"",SUM($K$5:$K291))</f>
        <v/>
      </c>
    </row>
    <row r="292">
      <c r="A292" s="15" t="inlineStr">
        <is>
          <t>42-007</t>
        </is>
      </c>
      <c r="B292" s="16" t="inlineStr">
        <is>
          <t>Smirnoff No. 21 Vodka 0,7 l</t>
        </is>
      </c>
      <c r="C292" s="17" t="inlineStr">
        <is>
          <t>Spirituosen – Gin &amp; Wodka</t>
        </is>
      </c>
      <c r="D292" s="17" t="inlineStr">
        <is>
          <t>Flasche 0,7 l</t>
        </is>
      </c>
      <c r="E292" s="15" t="inlineStr">
        <is>
          <t>Flasche</t>
        </is>
      </c>
      <c r="F292" s="17" t="inlineStr">
        <is>
          <t>1 Flasche</t>
        </is>
      </c>
      <c r="G292" s="17" t="inlineStr">
        <is>
          <t>Spirituosenhandel</t>
        </is>
      </c>
      <c r="H292" s="17" t="inlineStr">
        <is>
          <t>Keller</t>
        </is>
      </c>
      <c r="I292" s="17" t="inlineStr"/>
      <c r="K292">
        <f>IF($B292="",0,IF(Suche!$B$4="",1,IF(ISNUMBER(SEARCH(Suche!$B$4,$B292&amp;" "&amp;$C292&amp;" "&amp;$G292)),1,0)))</f>
        <v/>
      </c>
      <c r="L292">
        <f>IF($K292=0,"",SUM($K$5:$K292))</f>
        <v/>
      </c>
    </row>
    <row r="293">
      <c r="A293" s="12" t="inlineStr">
        <is>
          <t>71-013</t>
        </is>
      </c>
      <c r="B293" s="13" t="inlineStr">
        <is>
          <t>Sojasauce 1 l</t>
        </is>
      </c>
      <c r="C293" s="14" t="inlineStr">
        <is>
          <t>Küche – Konserven &amp; Saucen</t>
        </is>
      </c>
      <c r="D293" s="14" t="inlineStr">
        <is>
          <t>Flasche 1 l</t>
        </is>
      </c>
      <c r="E293" s="12" t="inlineStr">
        <is>
          <t>Flasche</t>
        </is>
      </c>
      <c r="F293" s="14" t="inlineStr">
        <is>
          <t>1 l/Flasche</t>
        </is>
      </c>
      <c r="G293" s="14" t="inlineStr">
        <is>
          <t>Lebensmittelgroßhandel</t>
        </is>
      </c>
      <c r="H293" s="14" t="inlineStr">
        <is>
          <t>Trockenlager</t>
        </is>
      </c>
      <c r="I293" s="14" t="inlineStr"/>
      <c r="K293">
        <f>IF($B293="",0,IF(Suche!$B$4="",1,IF(ISNUMBER(SEARCH(Suche!$B$4,$B293&amp;" "&amp;$C293&amp;" "&amp;$G293)),1,0)))</f>
        <v/>
      </c>
      <c r="L293">
        <f>IF($K293=0,"",SUM($K$5:$K293))</f>
        <v/>
      </c>
    </row>
    <row r="294">
      <c r="A294" s="15" t="inlineStr">
        <is>
          <t>70-018</t>
        </is>
      </c>
      <c r="B294" s="16" t="inlineStr">
        <is>
          <t>Sonnenblumenöl 10 l</t>
        </is>
      </c>
      <c r="C294" s="17" t="inlineStr">
        <is>
          <t>Küche – Trockenlager</t>
        </is>
      </c>
      <c r="D294" s="17" t="inlineStr">
        <is>
          <t>Kanister 10 l</t>
        </is>
      </c>
      <c r="E294" s="15" t="inlineStr">
        <is>
          <t>Kanister</t>
        </is>
      </c>
      <c r="F294" s="17" t="inlineStr">
        <is>
          <t>10 l/Kanister</t>
        </is>
      </c>
      <c r="G294" s="17" t="inlineStr">
        <is>
          <t>Lebensmittelgroßhandel</t>
        </is>
      </c>
      <c r="H294" s="17" t="inlineStr">
        <is>
          <t>Trockenlager</t>
        </is>
      </c>
      <c r="I294" s="17" t="inlineStr"/>
      <c r="K294">
        <f>IF($B294="",0,IF(Suche!$B$4="",1,IF(ISNUMBER(SEARCH(Suche!$B$4,$B294&amp;" "&amp;$C294&amp;" "&amp;$G294)),1,0)))</f>
        <v/>
      </c>
      <c r="L294">
        <f>IF($K294=0,"",SUM($K$5:$K294))</f>
        <v/>
      </c>
    </row>
    <row r="295">
      <c r="A295" s="12" t="inlineStr">
        <is>
          <t>70-026</t>
        </is>
      </c>
      <c r="B295" s="13" t="inlineStr">
        <is>
          <t>Spaghetti 5 kg</t>
        </is>
      </c>
      <c r="C295" s="14" t="inlineStr">
        <is>
          <t>Küche – Trockenlager</t>
        </is>
      </c>
      <c r="D295" s="14" t="inlineStr">
        <is>
          <t>Karton 5 kg</t>
        </is>
      </c>
      <c r="E295" s="12" t="inlineStr">
        <is>
          <t>kg</t>
        </is>
      </c>
      <c r="F295" s="14" t="inlineStr">
        <is>
          <t>5 kg/Karton</t>
        </is>
      </c>
      <c r="G295" s="14" t="inlineStr">
        <is>
          <t>Lebensmittelgroßhandel</t>
        </is>
      </c>
      <c r="H295" s="14" t="inlineStr">
        <is>
          <t>Trockenlager</t>
        </is>
      </c>
      <c r="I295" s="14" t="inlineStr"/>
      <c r="K295">
        <f>IF($B295="",0,IF(Suche!$B$4="",1,IF(ISNUMBER(SEARCH(Suche!$B$4,$B295&amp;" "&amp;$C295&amp;" "&amp;$G295)),1,0)))</f>
        <v/>
      </c>
      <c r="L295">
        <f>IF($K295=0,"",SUM($K$5:$K295))</f>
        <v/>
      </c>
    </row>
    <row r="296">
      <c r="A296" s="15" t="inlineStr">
        <is>
          <t>32-002</t>
        </is>
      </c>
      <c r="B296" s="16" t="inlineStr">
        <is>
          <t>Spätburgunder Barrique 0,75 l</t>
        </is>
      </c>
      <c r="C296" s="17" t="inlineStr">
        <is>
          <t>Wein – Rot</t>
        </is>
      </c>
      <c r="D296" s="17" t="inlineStr">
        <is>
          <t>Karton 6 × 0,75 l</t>
        </is>
      </c>
      <c r="E296" s="15" t="inlineStr">
        <is>
          <t>Flasche</t>
        </is>
      </c>
      <c r="F296" s="17" t="inlineStr">
        <is>
          <t>6 Flaschen/Karton</t>
        </is>
      </c>
      <c r="G296" s="17" t="inlineStr">
        <is>
          <t>Weinhandel</t>
        </is>
      </c>
      <c r="H296" s="17" t="inlineStr">
        <is>
          <t>Weinkeller</t>
        </is>
      </c>
      <c r="I296" s="17" t="inlineStr"/>
      <c r="K296">
        <f>IF($B296="",0,IF(Suche!$B$4="",1,IF(ISNUMBER(SEARCH(Suche!$B$4,$B296&amp;" "&amp;$C296&amp;" "&amp;$G296)),1,0)))</f>
        <v/>
      </c>
      <c r="L296">
        <f>IF($K296=0,"",SUM($K$5:$K296))</f>
        <v/>
      </c>
    </row>
    <row r="297">
      <c r="A297" s="12" t="inlineStr">
        <is>
          <t>32-001</t>
        </is>
      </c>
      <c r="B297" s="13" t="inlineStr">
        <is>
          <t>Spätburgunder QbA trocken 0,75 l</t>
        </is>
      </c>
      <c r="C297" s="14" t="inlineStr">
        <is>
          <t>Wein – Rot</t>
        </is>
      </c>
      <c r="D297" s="14" t="inlineStr">
        <is>
          <t>Karton 6 × 0,75 l</t>
        </is>
      </c>
      <c r="E297" s="12" t="inlineStr">
        <is>
          <t>Flasche</t>
        </is>
      </c>
      <c r="F297" s="14" t="inlineStr">
        <is>
          <t>6 Flaschen/Karton</t>
        </is>
      </c>
      <c r="G297" s="14" t="inlineStr">
        <is>
          <t>Weinhandel</t>
        </is>
      </c>
      <c r="H297" s="14" t="inlineStr">
        <is>
          <t>Weinkeller</t>
        </is>
      </c>
      <c r="I297" s="14" t="inlineStr"/>
      <c r="K297">
        <f>IF($B297="",0,IF(Suche!$B$4="",1,IF(ISNUMBER(SEARCH(Suche!$B$4,$B297&amp;" "&amp;$C297&amp;" "&amp;$G297)),1,0)))</f>
        <v/>
      </c>
      <c r="L297">
        <f>IF($K297=0,"",SUM($K$5:$K297))</f>
        <v/>
      </c>
    </row>
    <row r="298">
      <c r="A298" s="15" t="inlineStr">
        <is>
          <t>31-001</t>
        </is>
      </c>
      <c r="B298" s="16" t="inlineStr">
        <is>
          <t>Spätburgunder Weißherbst QbA halbtrocken 0,75 l</t>
        </is>
      </c>
      <c r="C298" s="17" t="inlineStr">
        <is>
          <t>Wein – Rosé &amp; Weißherbst</t>
        </is>
      </c>
      <c r="D298" s="17" t="inlineStr">
        <is>
          <t>Karton 6 × 0,75 l</t>
        </is>
      </c>
      <c r="E298" s="15" t="inlineStr">
        <is>
          <t>Flasche</t>
        </is>
      </c>
      <c r="F298" s="17" t="inlineStr">
        <is>
          <t>6 Flaschen/Karton</t>
        </is>
      </c>
      <c r="G298" s="17" t="inlineStr">
        <is>
          <t>Weinhandel</t>
        </is>
      </c>
      <c r="H298" s="17" t="inlineStr">
        <is>
          <t>Weinkeller</t>
        </is>
      </c>
      <c r="I298" s="17" t="inlineStr"/>
      <c r="K298">
        <f>IF($B298="",0,IF(Suche!$B$4="",1,IF(ISNUMBER(SEARCH(Suche!$B$4,$B298&amp;" "&amp;$C298&amp;" "&amp;$G298)),1,0)))</f>
        <v/>
      </c>
      <c r="L298">
        <f>IF($K298=0,"",SUM($K$5:$K298))</f>
        <v/>
      </c>
    </row>
    <row r="299">
      <c r="A299" s="12" t="inlineStr">
        <is>
          <t>70-025</t>
        </is>
      </c>
      <c r="B299" s="13" t="inlineStr">
        <is>
          <t>Spätzle 5 kg</t>
        </is>
      </c>
      <c r="C299" s="14" t="inlineStr">
        <is>
          <t>Küche – Trockenlager</t>
        </is>
      </c>
      <c r="D299" s="14" t="inlineStr">
        <is>
          <t>Karton 5 kg</t>
        </is>
      </c>
      <c r="E299" s="12" t="inlineStr">
        <is>
          <t>kg</t>
        </is>
      </c>
      <c r="F299" s="14" t="inlineStr">
        <is>
          <t>5 kg/Karton</t>
        </is>
      </c>
      <c r="G299" s="14" t="inlineStr">
        <is>
          <t>Lebensmittelgroßhandel</t>
        </is>
      </c>
      <c r="H299" s="14" t="inlineStr">
        <is>
          <t>Trockenlager</t>
        </is>
      </c>
      <c r="I299" s="14" t="inlineStr"/>
      <c r="K299">
        <f>IF($B299="",0,IF(Suche!$B$4="",1,IF(ISNUMBER(SEARCH(Suche!$B$4,$B299&amp;" "&amp;$C299&amp;" "&amp;$G299)),1,0)))</f>
        <v/>
      </c>
      <c r="L299">
        <f>IF($K299=0,"",SUM($K$5:$K299))</f>
        <v/>
      </c>
    </row>
    <row r="300">
      <c r="A300" s="15" t="inlineStr">
        <is>
          <t>72-023</t>
        </is>
      </c>
      <c r="B300" s="16" t="inlineStr">
        <is>
          <t>Speckwürfel 500 g</t>
        </is>
      </c>
      <c r="C300" s="17" t="inlineStr">
        <is>
          <t>Küche – Kühlhaus</t>
        </is>
      </c>
      <c r="D300" s="17" t="inlineStr">
        <is>
          <t>Packung 500 g</t>
        </is>
      </c>
      <c r="E300" s="15" t="inlineStr">
        <is>
          <t>Packung</t>
        </is>
      </c>
      <c r="F300" s="17" t="inlineStr">
        <is>
          <t>500 g/Packung</t>
        </is>
      </c>
      <c r="G300" s="17" t="inlineStr">
        <is>
          <t>Lebensmittelgroßhandel</t>
        </is>
      </c>
      <c r="H300" s="17" t="inlineStr">
        <is>
          <t>Kühlhaus</t>
        </is>
      </c>
      <c r="I300" s="17" t="inlineStr"/>
      <c r="K300">
        <f>IF($B300="",0,IF(Suche!$B$4="",1,IF(ISNUMBER(SEARCH(Suche!$B$4,$B300&amp;" "&amp;$C300&amp;" "&amp;$G300)),1,0)))</f>
        <v/>
      </c>
      <c r="L300">
        <f>IF($K300=0,"",SUM($K$5:$K300))</f>
        <v/>
      </c>
    </row>
    <row r="301">
      <c r="A301" s="12" t="inlineStr">
        <is>
          <t>72-009</t>
        </is>
      </c>
      <c r="B301" s="13" t="inlineStr">
        <is>
          <t>Speisequark 40 % 1 kg</t>
        </is>
      </c>
      <c r="C301" s="14" t="inlineStr">
        <is>
          <t>Küche – Kühlhaus</t>
        </is>
      </c>
      <c r="D301" s="14" t="inlineStr">
        <is>
          <t>Becher 1 kg</t>
        </is>
      </c>
      <c r="E301" s="12" t="inlineStr">
        <is>
          <t>Stück</t>
        </is>
      </c>
      <c r="F301" s="14" t="inlineStr">
        <is>
          <t>1 Becher</t>
        </is>
      </c>
      <c r="G301" s="14" t="inlineStr">
        <is>
          <t>Lebensmittelgroßhandel</t>
        </is>
      </c>
      <c r="H301" s="14" t="inlineStr">
        <is>
          <t>Kühlhaus</t>
        </is>
      </c>
      <c r="I301" s="14" t="inlineStr"/>
      <c r="K301">
        <f>IF($B301="",0,IF(Suche!$B$4="",1,IF(ISNUMBER(SEARCH(Suche!$B$4,$B301&amp;" "&amp;$C301&amp;" "&amp;$G301)),1,0)))</f>
        <v/>
      </c>
      <c r="L301">
        <f>IF($K301=0,"",SUM($K$5:$K301))</f>
        <v/>
      </c>
    </row>
    <row r="302">
      <c r="A302" s="15" t="inlineStr">
        <is>
          <t>70-007</t>
        </is>
      </c>
      <c r="B302" s="16" t="inlineStr">
        <is>
          <t>Speisestärke 500 g</t>
        </is>
      </c>
      <c r="C302" s="17" t="inlineStr">
        <is>
          <t>Küche – Trockenlager</t>
        </is>
      </c>
      <c r="D302" s="17" t="inlineStr">
        <is>
          <t>Packung 500 g</t>
        </is>
      </c>
      <c r="E302" s="15" t="inlineStr">
        <is>
          <t>Packung</t>
        </is>
      </c>
      <c r="F302" s="17" t="inlineStr">
        <is>
          <t>500 g/Packung</t>
        </is>
      </c>
      <c r="G302" s="17" t="inlineStr">
        <is>
          <t>Lebensmittelgroßhandel</t>
        </is>
      </c>
      <c r="H302" s="17" t="inlineStr">
        <is>
          <t>Trockenlager</t>
        </is>
      </c>
      <c r="I302" s="17" t="inlineStr"/>
      <c r="K302">
        <f>IF($B302="",0,IF(Suche!$B$4="",1,IF(ISNUMBER(SEARCH(Suche!$B$4,$B302&amp;" "&amp;$C302&amp;" "&amp;$G302)),1,0)))</f>
        <v/>
      </c>
      <c r="L302">
        <f>IF($K302=0,"",SUM($K$5:$K302))</f>
        <v/>
      </c>
    </row>
    <row r="303">
      <c r="A303" s="12" t="inlineStr">
        <is>
          <t>11-009</t>
        </is>
      </c>
      <c r="B303" s="13" t="inlineStr">
        <is>
          <t>Sprite 0,2 l Glas</t>
        </is>
      </c>
      <c r="C303" s="14" t="inlineStr">
        <is>
          <t>AFG – Limonaden</t>
        </is>
      </c>
      <c r="D303" s="14" t="inlineStr">
        <is>
          <t>Kasten 24 × 0,2 l</t>
        </is>
      </c>
      <c r="E303" s="12" t="inlineStr">
        <is>
          <t>Flasche</t>
        </is>
      </c>
      <c r="F303" s="14" t="inlineStr">
        <is>
          <t>24 Flaschen/Kasten</t>
        </is>
      </c>
      <c r="G303" s="14" t="inlineStr">
        <is>
          <t>Getränkefachgroßhandel</t>
        </is>
      </c>
      <c r="H303" s="14" t="inlineStr">
        <is>
          <t>Getränkelager</t>
        </is>
      </c>
      <c r="I303" s="14" t="inlineStr"/>
      <c r="K303">
        <f>IF($B303="",0,IF(Suche!$B$4="",1,IF(ISNUMBER(SEARCH(Suche!$B$4,$B303&amp;" "&amp;$C303&amp;" "&amp;$G303)),1,0)))</f>
        <v/>
      </c>
      <c r="L303">
        <f>IF($K303=0,"",SUM($K$5:$K303))</f>
        <v/>
      </c>
    </row>
    <row r="304">
      <c r="A304" s="15" t="inlineStr">
        <is>
          <t>11-010</t>
        </is>
      </c>
      <c r="B304" s="16" t="inlineStr">
        <is>
          <t>Sprite 0,33 l Glas</t>
        </is>
      </c>
      <c r="C304" s="17" t="inlineStr">
        <is>
          <t>AFG – Limonaden</t>
        </is>
      </c>
      <c r="D304" s="17" t="inlineStr">
        <is>
          <t>Kasten 24 × 0,33 l</t>
        </is>
      </c>
      <c r="E304" s="15" t="inlineStr">
        <is>
          <t>Flasche</t>
        </is>
      </c>
      <c r="F304" s="17" t="inlineStr">
        <is>
          <t>24 Flaschen/Kasten</t>
        </is>
      </c>
      <c r="G304" s="17" t="inlineStr">
        <is>
          <t>Getränkefachgroßhandel</t>
        </is>
      </c>
      <c r="H304" s="17" t="inlineStr">
        <is>
          <t>Getränkelager</t>
        </is>
      </c>
      <c r="I304" s="17" t="inlineStr"/>
      <c r="K304">
        <f>IF($B304="",0,IF(Suche!$B$4="",1,IF(ISNUMBER(SEARCH(Suche!$B$4,$B304&amp;" "&amp;$C304&amp;" "&amp;$G304)),1,0)))</f>
        <v/>
      </c>
      <c r="L304">
        <f>IF($K304=0,"",SUM($K$5:$K304))</f>
        <v/>
      </c>
    </row>
    <row r="305">
      <c r="A305" s="12" t="inlineStr">
        <is>
          <t>81-009</t>
        </is>
      </c>
      <c r="B305" s="13" t="inlineStr">
        <is>
          <t>Spülmaschinentabs</t>
        </is>
      </c>
      <c r="C305" s="14" t="inlineStr">
        <is>
          <t>Housekeeping – Reinigung</t>
        </is>
      </c>
      <c r="D305" s="14" t="inlineStr">
        <is>
          <t>Eimer 500 Stück</t>
        </is>
      </c>
      <c r="E305" s="12" t="inlineStr">
        <is>
          <t>Stück</t>
        </is>
      </c>
      <c r="F305" s="14" t="inlineStr">
        <is>
          <t>500 Tabs/Eimer</t>
        </is>
      </c>
      <c r="G305" s="14" t="inlineStr">
        <is>
          <t>Hygiene- &amp; Reinigungsbedarf</t>
        </is>
      </c>
      <c r="H305" s="14" t="inlineStr">
        <is>
          <t>Housekeeping</t>
        </is>
      </c>
      <c r="I305" s="14" t="inlineStr"/>
      <c r="K305">
        <f>IF($B305="",0,IF(Suche!$B$4="",1,IF(ISNUMBER(SEARCH(Suche!$B$4,$B305&amp;" "&amp;$C305&amp;" "&amp;$G305)),1,0)))</f>
        <v/>
      </c>
      <c r="L305">
        <f>IF($K305=0,"",SUM($K$5:$K305))</f>
        <v/>
      </c>
    </row>
    <row r="306">
      <c r="A306" s="15" t="inlineStr">
        <is>
          <t>71-015</t>
        </is>
      </c>
      <c r="B306" s="16" t="inlineStr">
        <is>
          <t>Tabasco 0,06 l</t>
        </is>
      </c>
      <c r="C306" s="17" t="inlineStr">
        <is>
          <t>Küche – Konserven &amp; Saucen</t>
        </is>
      </c>
      <c r="D306" s="17" t="inlineStr">
        <is>
          <t>Flasche 0,06 l</t>
        </is>
      </c>
      <c r="E306" s="15" t="inlineStr">
        <is>
          <t>Flasche</t>
        </is>
      </c>
      <c r="F306" s="17" t="inlineStr">
        <is>
          <t>1 Flasche</t>
        </is>
      </c>
      <c r="G306" s="17" t="inlineStr">
        <is>
          <t>Lebensmittelgroßhandel</t>
        </is>
      </c>
      <c r="H306" s="17" t="inlineStr">
        <is>
          <t>Trockenlager</t>
        </is>
      </c>
      <c r="I306" s="17" t="inlineStr"/>
      <c r="K306">
        <f>IF($B306="",0,IF(Suche!$B$4="",1,IF(ISNUMBER(SEARCH(Suche!$B$4,$B306&amp;" "&amp;$C306&amp;" "&amp;$G306)),1,0)))</f>
        <v/>
      </c>
      <c r="L306">
        <f>IF($K306=0,"",SUM($K$5:$K306))</f>
        <v/>
      </c>
    </row>
    <row r="307">
      <c r="A307" s="12" t="inlineStr">
        <is>
          <t>70-028</t>
        </is>
      </c>
      <c r="B307" s="13" t="inlineStr">
        <is>
          <t>Tagliatelle 5 kg</t>
        </is>
      </c>
      <c r="C307" s="14" t="inlineStr">
        <is>
          <t>Küche – Trockenlager</t>
        </is>
      </c>
      <c r="D307" s="14" t="inlineStr">
        <is>
          <t>Karton 5 kg</t>
        </is>
      </c>
      <c r="E307" s="12" t="inlineStr">
        <is>
          <t>kg</t>
        </is>
      </c>
      <c r="F307" s="14" t="inlineStr">
        <is>
          <t>5 kg/Karton</t>
        </is>
      </c>
      <c r="G307" s="14" t="inlineStr">
        <is>
          <t>Lebensmittelgroßhandel</t>
        </is>
      </c>
      <c r="H307" s="14" t="inlineStr">
        <is>
          <t>Trockenlager</t>
        </is>
      </c>
      <c r="I307" s="14" t="inlineStr"/>
      <c r="K307">
        <f>IF($B307="",0,IF(Suche!$B$4="",1,IF(ISNUMBER(SEARCH(Suche!$B$4,$B307&amp;" "&amp;$C307&amp;" "&amp;$G307)),1,0)))</f>
        <v/>
      </c>
      <c r="L307">
        <f>IF($K307=0,"",SUM($K$5:$K307))</f>
        <v/>
      </c>
    </row>
    <row r="308">
      <c r="A308" s="15" t="inlineStr">
        <is>
          <t>42-005</t>
        </is>
      </c>
      <c r="B308" s="16" t="inlineStr">
        <is>
          <t>Tanqueray London Dry Gin 0,7 l</t>
        </is>
      </c>
      <c r="C308" s="17" t="inlineStr">
        <is>
          <t>Spirituosen – Gin &amp; Wodka</t>
        </is>
      </c>
      <c r="D308" s="17" t="inlineStr">
        <is>
          <t>Flasche 0,7 l</t>
        </is>
      </c>
      <c r="E308" s="15" t="inlineStr">
        <is>
          <t>Flasche</t>
        </is>
      </c>
      <c r="F308" s="17" t="inlineStr">
        <is>
          <t>1 Flasche</t>
        </is>
      </c>
      <c r="G308" s="17" t="inlineStr">
        <is>
          <t>Spirituosenhandel</t>
        </is>
      </c>
      <c r="H308" s="17" t="inlineStr">
        <is>
          <t>Keller</t>
        </is>
      </c>
      <c r="I308" s="17" t="inlineStr"/>
      <c r="K308">
        <f>IF($B308="",0,IF(Suche!$B$4="",1,IF(ISNUMBER(SEARCH(Suche!$B$4,$B308&amp;" "&amp;$C308&amp;" "&amp;$G308)),1,0)))</f>
        <v/>
      </c>
      <c r="L308">
        <f>IF($K308=0,"",SUM($K$5:$K308))</f>
        <v/>
      </c>
    </row>
    <row r="309">
      <c r="A309" s="12" t="inlineStr">
        <is>
          <t>90-003</t>
        </is>
      </c>
      <c r="B309" s="13" t="inlineStr">
        <is>
          <t>Teelichter</t>
        </is>
      </c>
      <c r="C309" s="14" t="inlineStr">
        <is>
          <t>Verbrauchsmaterial Service</t>
        </is>
      </c>
      <c r="D309" s="14" t="inlineStr">
        <is>
          <t>Packung 100 Stück</t>
        </is>
      </c>
      <c r="E309" s="12" t="inlineStr">
        <is>
          <t>Packung</t>
        </is>
      </c>
      <c r="F309" s="14" t="inlineStr">
        <is>
          <t>100 Stück/Packung</t>
        </is>
      </c>
      <c r="G309" s="14" t="inlineStr">
        <is>
          <t>Lebensmittelgroßhandel</t>
        </is>
      </c>
      <c r="H309" s="14" t="inlineStr">
        <is>
          <t>Keller</t>
        </is>
      </c>
      <c r="I309" s="14" t="inlineStr"/>
      <c r="K309">
        <f>IF($B309="",0,IF(Suche!$B$4="",1,IF(ISNUMBER(SEARCH(Suche!$B$4,$B309&amp;" "&amp;$C309&amp;" "&amp;$G309)),1,0)))</f>
        <v/>
      </c>
      <c r="L309">
        <f>IF($K309=0,"",SUM($K$5:$K309))</f>
        <v/>
      </c>
    </row>
    <row r="310">
      <c r="A310" s="15" t="inlineStr">
        <is>
          <t>11-018</t>
        </is>
      </c>
      <c r="B310" s="16" t="inlineStr">
        <is>
          <t>Thomas Henry Ginger Beer 0,2 l Glas</t>
        </is>
      </c>
      <c r="C310" s="17" t="inlineStr">
        <is>
          <t>AFG – Limonaden</t>
        </is>
      </c>
      <c r="D310" s="17" t="inlineStr">
        <is>
          <t>Kasten 24 × 0,2 l</t>
        </is>
      </c>
      <c r="E310" s="15" t="inlineStr">
        <is>
          <t>Flasche</t>
        </is>
      </c>
      <c r="F310" s="17" t="inlineStr">
        <is>
          <t>24 Flaschen/Kasten</t>
        </is>
      </c>
      <c r="G310" s="17" t="inlineStr">
        <is>
          <t>Getränkefachgroßhandel</t>
        </is>
      </c>
      <c r="H310" s="17" t="inlineStr">
        <is>
          <t>Getränkelager</t>
        </is>
      </c>
      <c r="I310" s="17" t="inlineStr"/>
      <c r="K310">
        <f>IF($B310="",0,IF(Suche!$B$4="",1,IF(ISNUMBER(SEARCH(Suche!$B$4,$B310&amp;" "&amp;$C310&amp;" "&amp;$G310)),1,0)))</f>
        <v/>
      </c>
      <c r="L310">
        <f>IF($K310=0,"",SUM($K$5:$K310))</f>
        <v/>
      </c>
    </row>
    <row r="311">
      <c r="A311" s="12" t="inlineStr">
        <is>
          <t>11-017</t>
        </is>
      </c>
      <c r="B311" s="13" t="inlineStr">
        <is>
          <t>Thomas Henry Tonic Water 0,2 l Glas</t>
        </is>
      </c>
      <c r="C311" s="14" t="inlineStr">
        <is>
          <t>AFG – Limonaden</t>
        </is>
      </c>
      <c r="D311" s="14" t="inlineStr">
        <is>
          <t>Kasten 24 × 0,2 l</t>
        </is>
      </c>
      <c r="E311" s="12" t="inlineStr">
        <is>
          <t>Flasche</t>
        </is>
      </c>
      <c r="F311" s="14" t="inlineStr">
        <is>
          <t>24 Flaschen/Kasten</t>
        </is>
      </c>
      <c r="G311" s="14" t="inlineStr">
        <is>
          <t>Getränkefachgroßhandel</t>
        </is>
      </c>
      <c r="H311" s="14" t="inlineStr">
        <is>
          <t>Getränkelager</t>
        </is>
      </c>
      <c r="I311" s="14" t="inlineStr"/>
      <c r="K311">
        <f>IF($B311="",0,IF(Suche!$B$4="",1,IF(ISNUMBER(SEARCH(Suche!$B$4,$B311&amp;" "&amp;$C311&amp;" "&amp;$G311)),1,0)))</f>
        <v/>
      </c>
      <c r="L311">
        <f>IF($K311=0,"",SUM($K$5:$K311))</f>
        <v/>
      </c>
    </row>
    <row r="312">
      <c r="A312" s="15" t="inlineStr">
        <is>
          <t>42-008</t>
        </is>
      </c>
      <c r="B312" s="16" t="inlineStr">
        <is>
          <t>Three Sixty Vodka 0,7 l</t>
        </is>
      </c>
      <c r="C312" s="17" t="inlineStr">
        <is>
          <t>Spirituosen – Gin &amp; Wodka</t>
        </is>
      </c>
      <c r="D312" s="17" t="inlineStr">
        <is>
          <t>Flasche 0,7 l</t>
        </is>
      </c>
      <c r="E312" s="15" t="inlineStr">
        <is>
          <t>Flasche</t>
        </is>
      </c>
      <c r="F312" s="17" t="inlineStr">
        <is>
          <t>1 Flasche</t>
        </is>
      </c>
      <c r="G312" s="17" t="inlineStr">
        <is>
          <t>Spirituosenhandel</t>
        </is>
      </c>
      <c r="H312" s="17" t="inlineStr">
        <is>
          <t>Keller</t>
        </is>
      </c>
      <c r="I312" s="17" t="inlineStr"/>
      <c r="K312">
        <f>IF($B312="",0,IF(Suche!$B$4="",1,IF(ISNUMBER(SEARCH(Suche!$B$4,$B312&amp;" "&amp;$C312&amp;" "&amp;$G312)),1,0)))</f>
        <v/>
      </c>
      <c r="L312">
        <f>IF($K312=0,"",SUM($K$5:$K312))</f>
        <v/>
      </c>
    </row>
    <row r="313">
      <c r="A313" s="12" t="inlineStr">
        <is>
          <t>70-015</t>
        </is>
      </c>
      <c r="B313" s="13" t="inlineStr">
        <is>
          <t>Thymian getrocknet 250 g</t>
        </is>
      </c>
      <c r="C313" s="14" t="inlineStr">
        <is>
          <t>Küche – Trockenlager</t>
        </is>
      </c>
      <c r="D313" s="14" t="inlineStr">
        <is>
          <t>Beutel 250 g</t>
        </is>
      </c>
      <c r="E313" s="12" t="inlineStr">
        <is>
          <t>Beutel</t>
        </is>
      </c>
      <c r="F313" s="14" t="inlineStr">
        <is>
          <t>250 g/Beutel</t>
        </is>
      </c>
      <c r="G313" s="14" t="inlineStr">
        <is>
          <t>Lebensmittelgroßhandel</t>
        </is>
      </c>
      <c r="H313" s="14" t="inlineStr">
        <is>
          <t>Trockenlager</t>
        </is>
      </c>
      <c r="I313" s="14" t="inlineStr"/>
      <c r="K313">
        <f>IF($B313="",0,IF(Suche!$B$4="",1,IF(ISNUMBER(SEARCH(Suche!$B$4,$B313&amp;" "&amp;$C313&amp;" "&amp;$G313)),1,0)))</f>
        <v/>
      </c>
      <c r="L313">
        <f>IF($K313=0,"",SUM($K$5:$K313))</f>
        <v/>
      </c>
    </row>
    <row r="314">
      <c r="A314" s="15" t="inlineStr">
        <is>
          <t>80-013</t>
        </is>
      </c>
      <c r="B314" s="16" t="inlineStr">
        <is>
          <t>Toilettenpapier 3-lagig</t>
        </is>
      </c>
      <c r="C314" s="17" t="inlineStr">
        <is>
          <t>Housekeeping – Gästeartikel</t>
        </is>
      </c>
      <c r="D314" s="17" t="inlineStr">
        <is>
          <t>Sack 64 Rollen</t>
        </is>
      </c>
      <c r="E314" s="15" t="inlineStr">
        <is>
          <t>Rolle</t>
        </is>
      </c>
      <c r="F314" s="17" t="inlineStr">
        <is>
          <t>64 Rollen/Sack</t>
        </is>
      </c>
      <c r="G314" s="17" t="inlineStr">
        <is>
          <t>Hygiene- &amp; Reinigungsbedarf</t>
        </is>
      </c>
      <c r="H314" s="17" t="inlineStr">
        <is>
          <t>Housekeeping</t>
        </is>
      </c>
      <c r="I314" s="17" t="inlineStr"/>
      <c r="K314">
        <f>IF($B314="",0,IF(Suche!$B$4="",1,IF(ISNUMBER(SEARCH(Suche!$B$4,$B314&amp;" "&amp;$C314&amp;" "&amp;$G314)),1,0)))</f>
        <v/>
      </c>
      <c r="L314">
        <f>IF($K314=0,"",SUM($K$5:$K314))</f>
        <v/>
      </c>
    </row>
    <row r="315">
      <c r="A315" s="12" t="inlineStr">
        <is>
          <t>71-002</t>
        </is>
      </c>
      <c r="B315" s="13" t="inlineStr">
        <is>
          <t>Tomaten geschält 2,5 kg</t>
        </is>
      </c>
      <c r="C315" s="14" t="inlineStr">
        <is>
          <t>Küche – Konserven &amp; Saucen</t>
        </is>
      </c>
      <c r="D315" s="14" t="inlineStr">
        <is>
          <t>Dose 2,5 kg</t>
        </is>
      </c>
      <c r="E315" s="12" t="inlineStr">
        <is>
          <t>Dose</t>
        </is>
      </c>
      <c r="F315" s="14" t="inlineStr">
        <is>
          <t>2,5 kg/Dose</t>
        </is>
      </c>
      <c r="G315" s="14" t="inlineStr">
        <is>
          <t>Lebensmittelgroßhandel</t>
        </is>
      </c>
      <c r="H315" s="14" t="inlineStr">
        <is>
          <t>Trockenlager</t>
        </is>
      </c>
      <c r="I315" s="14" t="inlineStr"/>
      <c r="K315">
        <f>IF($B315="",0,IF(Suche!$B$4="",1,IF(ISNUMBER(SEARCH(Suche!$B$4,$B315&amp;" "&amp;$C315&amp;" "&amp;$G315)),1,0)))</f>
        <v/>
      </c>
      <c r="L315">
        <f>IF($K315=0,"",SUM($K$5:$K315))</f>
        <v/>
      </c>
    </row>
    <row r="316">
      <c r="A316" s="15" t="inlineStr">
        <is>
          <t>71-001</t>
        </is>
      </c>
      <c r="B316" s="16" t="inlineStr">
        <is>
          <t>Tomaten passiert 2,5 kg</t>
        </is>
      </c>
      <c r="C316" s="17" t="inlineStr">
        <is>
          <t>Küche – Konserven &amp; Saucen</t>
        </is>
      </c>
      <c r="D316" s="17" t="inlineStr">
        <is>
          <t>Dose 2,5 kg</t>
        </is>
      </c>
      <c r="E316" s="15" t="inlineStr">
        <is>
          <t>Dose</t>
        </is>
      </c>
      <c r="F316" s="17" t="inlineStr">
        <is>
          <t>2,5 kg/Dose</t>
        </is>
      </c>
      <c r="G316" s="17" t="inlineStr">
        <is>
          <t>Lebensmittelgroßhandel</t>
        </is>
      </c>
      <c r="H316" s="17" t="inlineStr">
        <is>
          <t>Trockenlager</t>
        </is>
      </c>
      <c r="I316" s="17" t="inlineStr"/>
      <c r="K316">
        <f>IF($B316="",0,IF(Suche!$B$4="",1,IF(ISNUMBER(SEARCH(Suche!$B$4,$B316&amp;" "&amp;$C316&amp;" "&amp;$G316)),1,0)))</f>
        <v/>
      </c>
      <c r="L316">
        <f>IF($K316=0,"",SUM($K$5:$K316))</f>
        <v/>
      </c>
    </row>
    <row r="317">
      <c r="A317" s="12" t="inlineStr">
        <is>
          <t>71-003</t>
        </is>
      </c>
      <c r="B317" s="13" t="inlineStr">
        <is>
          <t>Tomatenmark 800 g</t>
        </is>
      </c>
      <c r="C317" s="14" t="inlineStr">
        <is>
          <t>Küche – Konserven &amp; Saucen</t>
        </is>
      </c>
      <c r="D317" s="14" t="inlineStr">
        <is>
          <t>Dose 800 g</t>
        </is>
      </c>
      <c r="E317" s="12" t="inlineStr">
        <is>
          <t>Dose</t>
        </is>
      </c>
      <c r="F317" s="14" t="inlineStr">
        <is>
          <t>800 g/Dose</t>
        </is>
      </c>
      <c r="G317" s="14" t="inlineStr">
        <is>
          <t>Lebensmittelgroßhandel</t>
        </is>
      </c>
      <c r="H317" s="14" t="inlineStr">
        <is>
          <t>Trockenlager</t>
        </is>
      </c>
      <c r="I317" s="14" t="inlineStr"/>
      <c r="K317">
        <f>IF($B317="",0,IF(Suche!$B$4="",1,IF(ISNUMBER(SEARCH(Suche!$B$4,$B317&amp;" "&amp;$C317&amp;" "&amp;$G317)),1,0)))</f>
        <v/>
      </c>
      <c r="L317">
        <f>IF($K317=0,"",SUM($K$5:$K317))</f>
        <v/>
      </c>
    </row>
    <row r="318">
      <c r="A318" s="15" t="inlineStr">
        <is>
          <t>12-008</t>
        </is>
      </c>
      <c r="B318" s="16" t="inlineStr">
        <is>
          <t>Tomatensaft 1,0 l Glas</t>
        </is>
      </c>
      <c r="C318" s="17" t="inlineStr">
        <is>
          <t>AFG – Säfte &amp; Nektare</t>
        </is>
      </c>
      <c r="D318" s="17" t="inlineStr">
        <is>
          <t>Kasten 6 × 1,0 l</t>
        </is>
      </c>
      <c r="E318" s="15" t="inlineStr">
        <is>
          <t>Flasche</t>
        </is>
      </c>
      <c r="F318" s="17" t="inlineStr">
        <is>
          <t>6 Flaschen/Kasten</t>
        </is>
      </c>
      <c r="G318" s="17" t="inlineStr">
        <is>
          <t>Getränkefachgroßhandel</t>
        </is>
      </c>
      <c r="H318" s="17" t="inlineStr">
        <is>
          <t>Getränkelager</t>
        </is>
      </c>
      <c r="I318" s="17" t="inlineStr"/>
      <c r="K318">
        <f>IF($B318="",0,IF(Suche!$B$4="",1,IF(ISNUMBER(SEARCH(Suche!$B$4,$B318&amp;" "&amp;$C318&amp;" "&amp;$G318)),1,0)))</f>
        <v/>
      </c>
      <c r="L318">
        <f>IF($K318=0,"",SUM($K$5:$K318))</f>
        <v/>
      </c>
    </row>
    <row r="319">
      <c r="A319" s="12" t="inlineStr">
        <is>
          <t>12-010</t>
        </is>
      </c>
      <c r="B319" s="13" t="inlineStr">
        <is>
          <t>Traubensaft rot 1,0 l Glas</t>
        </is>
      </c>
      <c r="C319" s="14" t="inlineStr">
        <is>
          <t>AFG – Säfte &amp; Nektare</t>
        </is>
      </c>
      <c r="D319" s="14" t="inlineStr">
        <is>
          <t>Kasten 6 × 1,0 l</t>
        </is>
      </c>
      <c r="E319" s="12" t="inlineStr">
        <is>
          <t>Flasche</t>
        </is>
      </c>
      <c r="F319" s="14" t="inlineStr">
        <is>
          <t>6 Flaschen/Kasten</t>
        </is>
      </c>
      <c r="G319" s="14" t="inlineStr">
        <is>
          <t>Getränkefachgroßhandel</t>
        </is>
      </c>
      <c r="H319" s="14" t="inlineStr">
        <is>
          <t>Getränkelager</t>
        </is>
      </c>
      <c r="I319" s="14" t="inlineStr"/>
      <c r="K319">
        <f>IF($B319="",0,IF(Suche!$B$4="",1,IF(ISNUMBER(SEARCH(Suche!$B$4,$B319&amp;" "&amp;$C319&amp;" "&amp;$G319)),1,0)))</f>
        <v/>
      </c>
      <c r="L319">
        <f>IF($K319=0,"",SUM($K$5:$K319))</f>
        <v/>
      </c>
    </row>
    <row r="320">
      <c r="A320" s="15" t="inlineStr">
        <is>
          <t>12-009</t>
        </is>
      </c>
      <c r="B320" s="16" t="inlineStr">
        <is>
          <t>Traubensaft weiß 1,0 l Glas</t>
        </is>
      </c>
      <c r="C320" s="17" t="inlineStr">
        <is>
          <t>AFG – Säfte &amp; Nektare</t>
        </is>
      </c>
      <c r="D320" s="17" t="inlineStr">
        <is>
          <t>Kasten 6 × 1,0 l</t>
        </is>
      </c>
      <c r="E320" s="15" t="inlineStr">
        <is>
          <t>Flasche</t>
        </is>
      </c>
      <c r="F320" s="17" t="inlineStr">
        <is>
          <t>6 Flaschen/Kasten</t>
        </is>
      </c>
      <c r="G320" s="17" t="inlineStr">
        <is>
          <t>Getränkefachgroßhandel</t>
        </is>
      </c>
      <c r="H320" s="17" t="inlineStr">
        <is>
          <t>Getränkelager</t>
        </is>
      </c>
      <c r="I320" s="17" t="inlineStr"/>
      <c r="K320">
        <f>IF($B320="",0,IF(Suche!$B$4="",1,IF(ISNUMBER(SEARCH(Suche!$B$4,$B320&amp;" "&amp;$C320&amp;" "&amp;$G320)),1,0)))</f>
        <v/>
      </c>
      <c r="L320">
        <f>IF($K320=0,"",SUM($K$5:$K320))</f>
        <v/>
      </c>
    </row>
    <row r="321">
      <c r="A321" s="12" t="inlineStr">
        <is>
          <t>60-001</t>
        </is>
      </c>
      <c r="B321" s="13" t="inlineStr">
        <is>
          <t>Trinkhalme Papier</t>
        </is>
      </c>
      <c r="C321" s="14" t="inlineStr">
        <is>
          <t>Bar – Zubehör &amp; Frischware</t>
        </is>
      </c>
      <c r="D321" s="14" t="inlineStr">
        <is>
          <t>Packung 250 Stück</t>
        </is>
      </c>
      <c r="E321" s="12" t="inlineStr">
        <is>
          <t>Packung</t>
        </is>
      </c>
      <c r="F321" s="14" t="inlineStr">
        <is>
          <t>250 Stück/Packung</t>
        </is>
      </c>
      <c r="G321" s="14" t="inlineStr">
        <is>
          <t>Lebensmittelgroßhandel</t>
        </is>
      </c>
      <c r="H321" s="14" t="inlineStr">
        <is>
          <t>Bar</t>
        </is>
      </c>
      <c r="I321" s="14" t="inlineStr"/>
      <c r="K321">
        <f>IF($B321="",0,IF(Suche!$B$4="",1,IF(ISNUMBER(SEARCH(Suche!$B$4,$B321&amp;" "&amp;$C321&amp;" "&amp;$G321)),1,0)))</f>
        <v/>
      </c>
      <c r="L321">
        <f>IF($K321=0,"",SUM($K$5:$K321))</f>
        <v/>
      </c>
    </row>
    <row r="322">
      <c r="A322" s="15" t="inlineStr">
        <is>
          <t>51-011</t>
        </is>
      </c>
      <c r="B322" s="16" t="inlineStr">
        <is>
          <t>Trinkschokolade Pulver 1 kg</t>
        </is>
      </c>
      <c r="C322" s="17" t="inlineStr">
        <is>
          <t>Heißgetränke – Tee &amp; Kakao</t>
        </is>
      </c>
      <c r="D322" s="17" t="inlineStr">
        <is>
          <t>Packung 1 kg</t>
        </is>
      </c>
      <c r="E322" s="15" t="inlineStr">
        <is>
          <t>Packung</t>
        </is>
      </c>
      <c r="F322" s="17" t="inlineStr">
        <is>
          <t>1 kg/Packung</t>
        </is>
      </c>
      <c r="G322" s="17" t="inlineStr">
        <is>
          <t>Kaffeelieferant</t>
        </is>
      </c>
      <c r="H322" s="17" t="inlineStr">
        <is>
          <t>Trockenlager</t>
        </is>
      </c>
      <c r="I322" s="17" t="inlineStr"/>
      <c r="K322">
        <f>IF($B322="",0,IF(Suche!$B$4="",1,IF(ISNUMBER(SEARCH(Suche!$B$4,$B322&amp;" "&amp;$C322&amp;" "&amp;$G322)),1,0)))</f>
        <v/>
      </c>
      <c r="L322">
        <f>IF($K322=0,"",SUM($K$5:$K322))</f>
        <v/>
      </c>
    </row>
    <row r="323">
      <c r="A323" s="12" t="inlineStr">
        <is>
          <t>41-003</t>
        </is>
      </c>
      <c r="B323" s="13" t="inlineStr">
        <is>
          <t>Underberg 0,02 l Portionsflasche</t>
        </is>
      </c>
      <c r="C323" s="14" t="inlineStr">
        <is>
          <t>Spirituosen – Bitter &amp; Aperitif</t>
        </is>
      </c>
      <c r="D323" s="14" t="inlineStr">
        <is>
          <t>Karton 12 × 2 cl</t>
        </is>
      </c>
      <c r="E323" s="12" t="inlineStr">
        <is>
          <t>Flasche</t>
        </is>
      </c>
      <c r="F323" s="14" t="inlineStr">
        <is>
          <t>12 Portionen/Karton</t>
        </is>
      </c>
      <c r="G323" s="14" t="inlineStr">
        <is>
          <t>Spirituosenhandel</t>
        </is>
      </c>
      <c r="H323" s="14" t="inlineStr">
        <is>
          <t>Keller</t>
        </is>
      </c>
      <c r="I323" s="14" t="inlineStr"/>
      <c r="K323">
        <f>IF($B323="",0,IF(Suche!$B$4="",1,IF(ISNUMBER(SEARCH(Suche!$B$4,$B323&amp;" "&amp;$C323&amp;" "&amp;$G323)),1,0)))</f>
        <v/>
      </c>
      <c r="L323">
        <f>IF($K323=0,"",SUM($K$5:$K323))</f>
        <v/>
      </c>
    </row>
    <row r="324">
      <c r="A324" s="15" t="inlineStr">
        <is>
          <t>90-007</t>
        </is>
      </c>
      <c r="B324" s="16" t="inlineStr">
        <is>
          <t>Vakuumbeutel 20 × 30 cm</t>
        </is>
      </c>
      <c r="C324" s="17" t="inlineStr">
        <is>
          <t>Verbrauchsmaterial Service</t>
        </is>
      </c>
      <c r="D324" s="17" t="inlineStr">
        <is>
          <t>Karton 100 Stück</t>
        </is>
      </c>
      <c r="E324" s="15" t="inlineStr">
        <is>
          <t>Packung</t>
        </is>
      </c>
      <c r="F324" s="17" t="inlineStr">
        <is>
          <t>100 Stück/Karton</t>
        </is>
      </c>
      <c r="G324" s="17" t="inlineStr">
        <is>
          <t>Lebensmittelgroßhandel</t>
        </is>
      </c>
      <c r="H324" s="17" t="inlineStr">
        <is>
          <t>Keller</t>
        </is>
      </c>
      <c r="I324" s="17" t="inlineStr"/>
      <c r="K324">
        <f>IF($B324="",0,IF(Suche!$B$4="",1,IF(ISNUMBER(SEARCH(Suche!$B$4,$B324&amp;" "&amp;$C324&amp;" "&amp;$G324)),1,0)))</f>
        <v/>
      </c>
      <c r="L324">
        <f>IF($K324=0,"",SUM($K$5:$K324))</f>
        <v/>
      </c>
    </row>
    <row r="325">
      <c r="A325" s="12" t="inlineStr">
        <is>
          <t>73-013</t>
        </is>
      </c>
      <c r="B325" s="13" t="inlineStr">
        <is>
          <t>Vanilleeis 5 l</t>
        </is>
      </c>
      <c r="C325" s="14" t="inlineStr">
        <is>
          <t>Küche – Tiefkühl</t>
        </is>
      </c>
      <c r="D325" s="14" t="inlineStr">
        <is>
          <t>Behälter 5 l</t>
        </is>
      </c>
      <c r="E325" s="12" t="inlineStr">
        <is>
          <t>l</t>
        </is>
      </c>
      <c r="F325" s="14" t="inlineStr">
        <is>
          <t>5 l/Behälter</t>
        </is>
      </c>
      <c r="G325" s="14" t="inlineStr">
        <is>
          <t>Lebensmittelgroßhandel</t>
        </is>
      </c>
      <c r="H325" s="14" t="inlineStr">
        <is>
          <t>Tiefkühllager</t>
        </is>
      </c>
      <c r="I325" s="14" t="inlineStr"/>
      <c r="K325">
        <f>IF($B325="",0,IF(Suche!$B$4="",1,IF(ISNUMBER(SEARCH(Suche!$B$4,$B325&amp;" "&amp;$C325&amp;" "&amp;$G325)),1,0)))</f>
        <v/>
      </c>
      <c r="L325">
        <f>IF($K325=0,"",SUM($K$5:$K325))</f>
        <v/>
      </c>
    </row>
    <row r="326">
      <c r="A326" s="15" t="inlineStr">
        <is>
          <t>70-006</t>
        </is>
      </c>
      <c r="B326" s="16" t="inlineStr">
        <is>
          <t>Vanillezucker</t>
        </is>
      </c>
      <c r="C326" s="17" t="inlineStr">
        <is>
          <t>Küche – Trockenlager</t>
        </is>
      </c>
      <c r="D326" s="17" t="inlineStr">
        <is>
          <t>Packung 100 g</t>
        </is>
      </c>
      <c r="E326" s="15" t="inlineStr">
        <is>
          <t>Packung</t>
        </is>
      </c>
      <c r="F326" s="17" t="inlineStr">
        <is>
          <t>100 g/Packung</t>
        </is>
      </c>
      <c r="G326" s="17" t="inlineStr">
        <is>
          <t>Lebensmittelgroßhandel</t>
        </is>
      </c>
      <c r="H326" s="17" t="inlineStr">
        <is>
          <t>Trockenlager</t>
        </is>
      </c>
      <c r="I326" s="17" t="inlineStr"/>
      <c r="K326">
        <f>IF($B326="",0,IF(Suche!$B$4="",1,IF(ISNUMBER(SEARCH(Suche!$B$4,$B326&amp;" "&amp;$C326&amp;" "&amp;$G326)),1,0)))</f>
        <v/>
      </c>
      <c r="L326">
        <f>IF($K326=0,"",SUM($K$5:$K326))</f>
        <v/>
      </c>
    </row>
    <row r="327">
      <c r="A327" s="12" t="inlineStr">
        <is>
          <t>33-009</t>
        </is>
      </c>
      <c r="B327" s="13" t="inlineStr">
        <is>
          <t>Veuve Clicquot Brut 0,75 l</t>
        </is>
      </c>
      <c r="C327" s="14" t="inlineStr">
        <is>
          <t>Sekt &amp; Champagner</t>
        </is>
      </c>
      <c r="D327" s="14" t="inlineStr">
        <is>
          <t>Karton 6 × 0,75 l</t>
        </is>
      </c>
      <c r="E327" s="12" t="inlineStr">
        <is>
          <t>Flasche</t>
        </is>
      </c>
      <c r="F327" s="14" t="inlineStr">
        <is>
          <t>6 Flaschen/Karton</t>
        </is>
      </c>
      <c r="G327" s="14" t="inlineStr">
        <is>
          <t>Weinhandel</t>
        </is>
      </c>
      <c r="H327" s="14" t="inlineStr">
        <is>
          <t>Weinkeller</t>
        </is>
      </c>
      <c r="I327" s="14" t="inlineStr"/>
      <c r="K327">
        <f>IF($B327="",0,IF(Suche!$B$4="",1,IF(ISNUMBER(SEARCH(Suche!$B$4,$B327&amp;" "&amp;$C327&amp;" "&amp;$G327)),1,0)))</f>
        <v/>
      </c>
      <c r="L327">
        <f>IF($K327=0,"",SUM($K$5:$K327))</f>
        <v/>
      </c>
    </row>
    <row r="328">
      <c r="A328" s="15" t="inlineStr">
        <is>
          <t>72-003</t>
        </is>
      </c>
      <c r="B328" s="16" t="inlineStr">
        <is>
          <t>Vollmilch 3,5 % 1 l</t>
        </is>
      </c>
      <c r="C328" s="17" t="inlineStr">
        <is>
          <t>Küche – Kühlhaus</t>
        </is>
      </c>
      <c r="D328" s="17" t="inlineStr">
        <is>
          <t>Karton 12 × 1 l</t>
        </is>
      </c>
      <c r="E328" s="15" t="inlineStr">
        <is>
          <t>l</t>
        </is>
      </c>
      <c r="F328" s="17" t="inlineStr">
        <is>
          <t>12 l/Karton</t>
        </is>
      </c>
      <c r="G328" s="17" t="inlineStr">
        <is>
          <t>Lebensmittelgroßhandel</t>
        </is>
      </c>
      <c r="H328" s="17" t="inlineStr">
        <is>
          <t>Kühlhaus</t>
        </is>
      </c>
      <c r="I328" s="17" t="inlineStr"/>
      <c r="K328">
        <f>IF($B328="",0,IF(Suche!$B$4="",1,IF(ISNUMBER(SEARCH(Suche!$B$4,$B328&amp;" "&amp;$C328&amp;" "&amp;$G328)),1,0)))</f>
        <v/>
      </c>
      <c r="L328">
        <f>IF($K328=0,"",SUM($K$5:$K328))</f>
        <v/>
      </c>
    </row>
    <row r="329">
      <c r="A329" s="12" t="inlineStr">
        <is>
          <t>81-013</t>
        </is>
      </c>
      <c r="B329" s="13" t="inlineStr">
        <is>
          <t>Vollwaschmittel 10 kg</t>
        </is>
      </c>
      <c r="C329" s="14" t="inlineStr">
        <is>
          <t>Housekeeping – Reinigung</t>
        </is>
      </c>
      <c r="D329" s="14" t="inlineStr">
        <is>
          <t>Sack 10 kg</t>
        </is>
      </c>
      <c r="E329" s="12" t="inlineStr">
        <is>
          <t>kg</t>
        </is>
      </c>
      <c r="F329" s="14" t="inlineStr">
        <is>
          <t>10 kg/Sack</t>
        </is>
      </c>
      <c r="G329" s="14" t="inlineStr">
        <is>
          <t>Hygiene- &amp; Reinigungsbedarf</t>
        </is>
      </c>
      <c r="H329" s="14" t="inlineStr">
        <is>
          <t>Housekeeping</t>
        </is>
      </c>
      <c r="I329" s="14" t="inlineStr"/>
      <c r="K329">
        <f>IF($B329="",0,IF(Suche!$B$4="",1,IF(ISNUMBER(SEARCH(Suche!$B$4,$B329&amp;" "&amp;$C329&amp;" "&amp;$G329)),1,0)))</f>
        <v/>
      </c>
      <c r="L329">
        <f>IF($K329=0,"",SUM($K$5:$K329))</f>
        <v/>
      </c>
    </row>
    <row r="330">
      <c r="A330" s="15" t="inlineStr">
        <is>
          <t>80-011</t>
        </is>
      </c>
      <c r="B330" s="16" t="inlineStr">
        <is>
          <t>Wäschebeutel</t>
        </is>
      </c>
      <c r="C330" s="17" t="inlineStr">
        <is>
          <t>Housekeeping – Gästeartikel</t>
        </is>
      </c>
      <c r="D330" s="17" t="inlineStr">
        <is>
          <t>Karton 250 Stück</t>
        </is>
      </c>
      <c r="E330" s="15" t="inlineStr">
        <is>
          <t>Stück</t>
        </is>
      </c>
      <c r="F330" s="17" t="inlineStr">
        <is>
          <t>250 Stück/Karton</t>
        </is>
      </c>
      <c r="G330" s="17" t="inlineStr">
        <is>
          <t>Hygiene- &amp; Reinigungsbedarf</t>
        </is>
      </c>
      <c r="H330" s="17" t="inlineStr">
        <is>
          <t>Housekeeping</t>
        </is>
      </c>
      <c r="I330" s="17" t="inlineStr"/>
      <c r="K330">
        <f>IF($B330="",0,IF(Suche!$B$4="",1,IF(ISNUMBER(SEARCH(Suche!$B$4,$B330&amp;" "&amp;$C330&amp;" "&amp;$G330)),1,0)))</f>
        <v/>
      </c>
      <c r="L330">
        <f>IF($K330=0,"",SUM($K$5:$K330))</f>
        <v/>
      </c>
    </row>
    <row r="331">
      <c r="A331" s="12" t="inlineStr">
        <is>
          <t>80-010</t>
        </is>
      </c>
      <c r="B331" s="13" t="inlineStr">
        <is>
          <t>Wattepads</t>
        </is>
      </c>
      <c r="C331" s="14" t="inlineStr">
        <is>
          <t>Housekeeping – Gästeartikel</t>
        </is>
      </c>
      <c r="D331" s="14" t="inlineStr">
        <is>
          <t>Karton 500 Stück</t>
        </is>
      </c>
      <c r="E331" s="12" t="inlineStr">
        <is>
          <t>Stück</t>
        </is>
      </c>
      <c r="F331" s="14" t="inlineStr">
        <is>
          <t>500 Stück/Karton</t>
        </is>
      </c>
      <c r="G331" s="14" t="inlineStr">
        <is>
          <t>Hygiene- &amp; Reinigungsbedarf</t>
        </is>
      </c>
      <c r="H331" s="14" t="inlineStr">
        <is>
          <t>Housekeeping</t>
        </is>
      </c>
      <c r="I331" s="14" t="inlineStr"/>
      <c r="K331">
        <f>IF($B331="",0,IF(Suche!$B$4="",1,IF(ISNUMBER(SEARCH(Suche!$B$4,$B331&amp;" "&amp;$C331&amp;" "&amp;$G331)),1,0)))</f>
        <v/>
      </c>
      <c r="L331">
        <f>IF($K331=0,"",SUM($K$5:$K331))</f>
        <v/>
      </c>
    </row>
    <row r="332">
      <c r="A332" s="15" t="inlineStr">
        <is>
          <t>81-014</t>
        </is>
      </c>
      <c r="B332" s="16" t="inlineStr">
        <is>
          <t>Weichspüler 10 l</t>
        </is>
      </c>
      <c r="C332" s="17" t="inlineStr">
        <is>
          <t>Housekeeping – Reinigung</t>
        </is>
      </c>
      <c r="D332" s="17" t="inlineStr">
        <is>
          <t>Kanister 10 l</t>
        </is>
      </c>
      <c r="E332" s="15" t="inlineStr">
        <is>
          <t>Kanister</t>
        </is>
      </c>
      <c r="F332" s="17" t="inlineStr">
        <is>
          <t>10 l/Kanister</t>
        </is>
      </c>
      <c r="G332" s="17" t="inlineStr">
        <is>
          <t>Hygiene- &amp; Reinigungsbedarf</t>
        </is>
      </c>
      <c r="H332" s="17" t="inlineStr">
        <is>
          <t>Housekeeping</t>
        </is>
      </c>
      <c r="I332" s="17" t="inlineStr"/>
      <c r="K332">
        <f>IF($B332="",0,IF(Suche!$B$4="",1,IF(ISNUMBER(SEARCH(Suche!$B$4,$B332&amp;" "&amp;$C332&amp;" "&amp;$G332)),1,0)))</f>
        <v/>
      </c>
      <c r="L332">
        <f>IF($K332=0,"",SUM($K$5:$K332))</f>
        <v/>
      </c>
    </row>
    <row r="333">
      <c r="A333" s="12" t="inlineStr">
        <is>
          <t>30-004</t>
        </is>
      </c>
      <c r="B333" s="13" t="inlineStr">
        <is>
          <t>Weißburgunder Kabinett trocken 0,75 l</t>
        </is>
      </c>
      <c r="C333" s="14" t="inlineStr">
        <is>
          <t>Wein – Weiß</t>
        </is>
      </c>
      <c r="D333" s="14" t="inlineStr">
        <is>
          <t>Karton 6 × 0,75 l</t>
        </is>
      </c>
      <c r="E333" s="12" t="inlineStr">
        <is>
          <t>Flasche</t>
        </is>
      </c>
      <c r="F333" s="14" t="inlineStr">
        <is>
          <t>6 Flaschen/Karton</t>
        </is>
      </c>
      <c r="G333" s="14" t="inlineStr">
        <is>
          <t>Weinhandel</t>
        </is>
      </c>
      <c r="H333" s="14" t="inlineStr">
        <is>
          <t>Weinkeller</t>
        </is>
      </c>
      <c r="I333" s="14" t="inlineStr"/>
      <c r="K333">
        <f>IF($B333="",0,IF(Suche!$B$4="",1,IF(ISNUMBER(SEARCH(Suche!$B$4,$B333&amp;" "&amp;$C333&amp;" "&amp;$G333)),1,0)))</f>
        <v/>
      </c>
      <c r="L333">
        <f>IF($K333=0,"",SUM($K$5:$K333))</f>
        <v/>
      </c>
    </row>
    <row r="334">
      <c r="A334" s="15" t="inlineStr">
        <is>
          <t>30-003</t>
        </is>
      </c>
      <c r="B334" s="16" t="inlineStr">
        <is>
          <t>Weißburgunder QbA trocken 0,75 l</t>
        </is>
      </c>
      <c r="C334" s="17" t="inlineStr">
        <is>
          <t>Wein – Weiß</t>
        </is>
      </c>
      <c r="D334" s="17" t="inlineStr">
        <is>
          <t>Karton 6 × 0,75 l</t>
        </is>
      </c>
      <c r="E334" s="15" t="inlineStr">
        <is>
          <t>Flasche</t>
        </is>
      </c>
      <c r="F334" s="17" t="inlineStr">
        <is>
          <t>6 Flaschen/Karton</t>
        </is>
      </c>
      <c r="G334" s="17" t="inlineStr">
        <is>
          <t>Weinhandel</t>
        </is>
      </c>
      <c r="H334" s="17" t="inlineStr">
        <is>
          <t>Weinkeller</t>
        </is>
      </c>
      <c r="I334" s="17" t="inlineStr"/>
      <c r="K334">
        <f>IF($B334="",0,IF(Suche!$B$4="",1,IF(ISNUMBER(SEARCH(Suche!$B$4,$B334&amp;" "&amp;$C334&amp;" "&amp;$G334)),1,0)))</f>
        <v/>
      </c>
      <c r="L334">
        <f>IF($K334=0,"",SUM($K$5:$K334))</f>
        <v/>
      </c>
    </row>
    <row r="335">
      <c r="A335" s="12" t="inlineStr">
        <is>
          <t>70-021</t>
        </is>
      </c>
      <c r="B335" s="13" t="inlineStr">
        <is>
          <t>Weißweinessig 5 l</t>
        </is>
      </c>
      <c r="C335" s="14" t="inlineStr">
        <is>
          <t>Küche – Trockenlager</t>
        </is>
      </c>
      <c r="D335" s="14" t="inlineStr">
        <is>
          <t>Kanister 5 l</t>
        </is>
      </c>
      <c r="E335" s="12" t="inlineStr">
        <is>
          <t>Kanister</t>
        </is>
      </c>
      <c r="F335" s="14" t="inlineStr">
        <is>
          <t>5 l/Kanister</t>
        </is>
      </c>
      <c r="G335" s="14" t="inlineStr">
        <is>
          <t>Lebensmittelgroßhandel</t>
        </is>
      </c>
      <c r="H335" s="14" t="inlineStr">
        <is>
          <t>Trockenlager</t>
        </is>
      </c>
      <c r="I335" s="14" t="inlineStr"/>
      <c r="K335">
        <f>IF($B335="",0,IF(Suche!$B$4="",1,IF(ISNUMBER(SEARCH(Suche!$B$4,$B335&amp;" "&amp;$C335&amp;" "&amp;$G335)),1,0)))</f>
        <v/>
      </c>
      <c r="L335">
        <f>IF($K335=0,"",SUM($K$5:$K335))</f>
        <v/>
      </c>
    </row>
    <row r="336">
      <c r="A336" s="15" t="inlineStr">
        <is>
          <t>70-001</t>
        </is>
      </c>
      <c r="B336" s="16" t="inlineStr">
        <is>
          <t>Weizenmehl Type 405 1 kg</t>
        </is>
      </c>
      <c r="C336" s="17" t="inlineStr">
        <is>
          <t>Küche – Trockenlager</t>
        </is>
      </c>
      <c r="D336" s="17" t="inlineStr">
        <is>
          <t>Sack 10 kg</t>
        </is>
      </c>
      <c r="E336" s="15" t="inlineStr">
        <is>
          <t>kg</t>
        </is>
      </c>
      <c r="F336" s="17" t="inlineStr">
        <is>
          <t>10 kg/Sack</t>
        </is>
      </c>
      <c r="G336" s="17" t="inlineStr">
        <is>
          <t>Lebensmittelgroßhandel</t>
        </is>
      </c>
      <c r="H336" s="17" t="inlineStr">
        <is>
          <t>Trockenlager</t>
        </is>
      </c>
      <c r="I336" s="17" t="inlineStr"/>
      <c r="K336">
        <f>IF($B336="",0,IF(Suche!$B$4="",1,IF(ISNUMBER(SEARCH(Suche!$B$4,$B336&amp;" "&amp;$C336&amp;" "&amp;$G336)),1,0)))</f>
        <v/>
      </c>
      <c r="L336">
        <f>IF($K336=0,"",SUM($K$5:$K336))</f>
        <v/>
      </c>
    </row>
    <row r="337">
      <c r="A337" s="12" t="inlineStr">
        <is>
          <t>70-002</t>
        </is>
      </c>
      <c r="B337" s="13" t="inlineStr">
        <is>
          <t>Weizenmehl Type 550 1 kg</t>
        </is>
      </c>
      <c r="C337" s="14" t="inlineStr">
        <is>
          <t>Küche – Trockenlager</t>
        </is>
      </c>
      <c r="D337" s="14" t="inlineStr">
        <is>
          <t>Sack 10 kg</t>
        </is>
      </c>
      <c r="E337" s="12" t="inlineStr">
        <is>
          <t>kg</t>
        </is>
      </c>
      <c r="F337" s="14" t="inlineStr">
        <is>
          <t>10 kg/Sack</t>
        </is>
      </c>
      <c r="G337" s="14" t="inlineStr">
        <is>
          <t>Lebensmittelgroßhandel</t>
        </is>
      </c>
      <c r="H337" s="14" t="inlineStr">
        <is>
          <t>Trockenlager</t>
        </is>
      </c>
      <c r="I337" s="14" t="inlineStr"/>
      <c r="K337">
        <f>IF($B337="",0,IF(Suche!$B$4="",1,IF(ISNUMBER(SEARCH(Suche!$B$4,$B337&amp;" "&amp;$C337&amp;" "&amp;$G337)),1,0)))</f>
        <v/>
      </c>
      <c r="L337">
        <f>IF($K337=0,"",SUM($K$5:$K337))</f>
        <v/>
      </c>
    </row>
    <row r="338">
      <c r="A338" s="15" t="inlineStr">
        <is>
          <t>40-002</t>
        </is>
      </c>
      <c r="B338" s="16" t="inlineStr">
        <is>
          <t>Williams-Christ-Birne 0,7 l</t>
        </is>
      </c>
      <c r="C338" s="17" t="inlineStr">
        <is>
          <t>Spirituosen – Obstbrände</t>
        </is>
      </c>
      <c r="D338" s="17" t="inlineStr">
        <is>
          <t>Flasche 0,7 l</t>
        </is>
      </c>
      <c r="E338" s="15" t="inlineStr">
        <is>
          <t>Flasche</t>
        </is>
      </c>
      <c r="F338" s="17" t="inlineStr">
        <is>
          <t>1 Flasche</t>
        </is>
      </c>
      <c r="G338" s="17" t="inlineStr">
        <is>
          <t>Spirituosenhandel</t>
        </is>
      </c>
      <c r="H338" s="17" t="inlineStr">
        <is>
          <t>Keller</t>
        </is>
      </c>
      <c r="I338" s="17" t="inlineStr"/>
      <c r="K338">
        <f>IF($B338="",0,IF(Suche!$B$4="",1,IF(ISNUMBER(SEARCH(Suche!$B$4,$B338&amp;" "&amp;$C338&amp;" "&amp;$G338)),1,0)))</f>
        <v/>
      </c>
      <c r="L338">
        <f>IF($K338=0,"",SUM($K$5:$K338))</f>
        <v/>
      </c>
    </row>
    <row r="339">
      <c r="A339" s="12" t="inlineStr">
        <is>
          <t>33-001</t>
        </is>
      </c>
      <c r="B339" s="13" t="inlineStr">
        <is>
          <t>Winzersekt brut 0,75 l</t>
        </is>
      </c>
      <c r="C339" s="14" t="inlineStr">
        <is>
          <t>Sekt &amp; Champagner</t>
        </is>
      </c>
      <c r="D339" s="14" t="inlineStr">
        <is>
          <t>Karton 6 × 0,75 l</t>
        </is>
      </c>
      <c r="E339" s="12" t="inlineStr">
        <is>
          <t>Flasche</t>
        </is>
      </c>
      <c r="F339" s="14" t="inlineStr">
        <is>
          <t>6 Flaschen/Karton</t>
        </is>
      </c>
      <c r="G339" s="14" t="inlineStr">
        <is>
          <t>Weinhandel</t>
        </is>
      </c>
      <c r="H339" s="14" t="inlineStr">
        <is>
          <t>Weinkeller</t>
        </is>
      </c>
      <c r="I339" s="14" t="inlineStr"/>
      <c r="K339">
        <f>IF($B339="",0,IF(Suche!$B$4="",1,IF(ISNUMBER(SEARCH(Suche!$B$4,$B339&amp;" "&amp;$C339&amp;" "&amp;$G339)),1,0)))</f>
        <v/>
      </c>
      <c r="L339">
        <f>IF($K339=0,"",SUM($K$5:$K339))</f>
        <v/>
      </c>
    </row>
    <row r="340">
      <c r="A340" s="15" t="inlineStr">
        <is>
          <t>71-014</t>
        </is>
      </c>
      <c r="B340" s="16" t="inlineStr">
        <is>
          <t>Worcestersauce 0,29 l</t>
        </is>
      </c>
      <c r="C340" s="17" t="inlineStr">
        <is>
          <t>Küche – Konserven &amp; Saucen</t>
        </is>
      </c>
      <c r="D340" s="17" t="inlineStr">
        <is>
          <t>Flasche 0,29 l</t>
        </is>
      </c>
      <c r="E340" s="15" t="inlineStr">
        <is>
          <t>Flasche</t>
        </is>
      </c>
      <c r="F340" s="17" t="inlineStr">
        <is>
          <t>1 Flasche</t>
        </is>
      </c>
      <c r="G340" s="17" t="inlineStr">
        <is>
          <t>Lebensmittelgroßhandel</t>
        </is>
      </c>
      <c r="H340" s="17" t="inlineStr">
        <is>
          <t>Trockenlager</t>
        </is>
      </c>
      <c r="I340" s="17" t="inlineStr"/>
      <c r="K340">
        <f>IF($B340="",0,IF(Suche!$B$4="",1,IF(ISNUMBER(SEARCH(Suche!$B$4,$B340&amp;" "&amp;$C340&amp;" "&amp;$G340)),1,0)))</f>
        <v/>
      </c>
      <c r="L340">
        <f>IF($K340=0,"",SUM($K$5:$K340))</f>
        <v/>
      </c>
    </row>
    <row r="341">
      <c r="A341" s="12" t="inlineStr">
        <is>
          <t>80-007</t>
        </is>
      </c>
      <c r="B341" s="13" t="inlineStr">
        <is>
          <t>Zahnputzset</t>
        </is>
      </c>
      <c r="C341" s="14" t="inlineStr">
        <is>
          <t>Housekeeping – Gästeartikel</t>
        </is>
      </c>
      <c r="D341" s="14" t="inlineStr">
        <is>
          <t>Karton 500 Stück</t>
        </is>
      </c>
      <c r="E341" s="12" t="inlineStr">
        <is>
          <t>Stück</t>
        </is>
      </c>
      <c r="F341" s="14" t="inlineStr">
        <is>
          <t>500 Stück/Karton</t>
        </is>
      </c>
      <c r="G341" s="14" t="inlineStr">
        <is>
          <t>Hygiene- &amp; Reinigungsbedarf</t>
        </is>
      </c>
      <c r="H341" s="14" t="inlineStr">
        <is>
          <t>Housekeeping</t>
        </is>
      </c>
      <c r="I341" s="14" t="inlineStr"/>
      <c r="K341">
        <f>IF($B341="",0,IF(Suche!$B$4="",1,IF(ISNUMBER(SEARCH(Suche!$B$4,$B341&amp;" "&amp;$C341&amp;" "&amp;$G341)),1,0)))</f>
        <v/>
      </c>
      <c r="L341">
        <f>IF($K341=0,"",SUM($K$5:$K341))</f>
        <v/>
      </c>
    </row>
    <row r="342">
      <c r="A342" s="15" t="inlineStr">
        <is>
          <t>73-008</t>
        </is>
      </c>
      <c r="B342" s="16" t="inlineStr">
        <is>
          <t>Zanderfilet TK</t>
        </is>
      </c>
      <c r="C342" s="17" t="inlineStr">
        <is>
          <t>Küche – Tiefkühl</t>
        </is>
      </c>
      <c r="D342" s="17" t="inlineStr">
        <is>
          <t>Karton 5 kg</t>
        </is>
      </c>
      <c r="E342" s="15" t="inlineStr">
        <is>
          <t>kg</t>
        </is>
      </c>
      <c r="F342" s="17" t="inlineStr">
        <is>
          <t>5 kg/Karton</t>
        </is>
      </c>
      <c r="G342" s="17" t="inlineStr">
        <is>
          <t>Lebensmittelgroßhandel</t>
        </is>
      </c>
      <c r="H342" s="17" t="inlineStr">
        <is>
          <t>Tiefkühllager</t>
        </is>
      </c>
      <c r="I342" s="17" t="inlineStr"/>
      <c r="K342">
        <f>IF($B342="",0,IF(Suche!$B$4="",1,IF(ISNUMBER(SEARCH(Suche!$B$4,$B342&amp;" "&amp;$C342&amp;" "&amp;$G342)),1,0)))</f>
        <v/>
      </c>
      <c r="L342">
        <f>IF($K342=0,"",SUM($K$5:$K342))</f>
        <v/>
      </c>
    </row>
    <row r="343">
      <c r="A343" s="12" t="inlineStr">
        <is>
          <t>60-005</t>
        </is>
      </c>
      <c r="B343" s="13" t="inlineStr">
        <is>
          <t>Zitronen frisch</t>
        </is>
      </c>
      <c r="C343" s="14" t="inlineStr">
        <is>
          <t>Bar – Zubehör &amp; Frischware</t>
        </is>
      </c>
      <c r="D343" s="14" t="inlineStr">
        <is>
          <t>Kiste 10 kg</t>
        </is>
      </c>
      <c r="E343" s="12" t="inlineStr">
        <is>
          <t>kg</t>
        </is>
      </c>
      <c r="F343" s="14" t="inlineStr">
        <is>
          <t>10 kg/Kiste</t>
        </is>
      </c>
      <c r="G343" s="14" t="inlineStr">
        <is>
          <t>Lebensmittelgroßhandel</t>
        </is>
      </c>
      <c r="H343" s="14" t="inlineStr">
        <is>
          <t>Bar</t>
        </is>
      </c>
      <c r="I343" s="14" t="inlineStr"/>
      <c r="K343">
        <f>IF($B343="",0,IF(Suche!$B$4="",1,IF(ISNUMBER(SEARCH(Suche!$B$4,$B343&amp;" "&amp;$C343&amp;" "&amp;$G343)),1,0)))</f>
        <v/>
      </c>
      <c r="L343">
        <f>IF($K343=0,"",SUM($K$5:$K343))</f>
        <v/>
      </c>
    </row>
    <row r="344">
      <c r="A344" s="15" t="inlineStr">
        <is>
          <t>12-014</t>
        </is>
      </c>
      <c r="B344" s="16" t="inlineStr">
        <is>
          <t>Zitronensaft 0,7 l Flasche</t>
        </is>
      </c>
      <c r="C344" s="17" t="inlineStr">
        <is>
          <t>AFG – Säfte &amp; Nektare</t>
        </is>
      </c>
      <c r="D344" s="17" t="inlineStr">
        <is>
          <t>Flasche 0,7 l</t>
        </is>
      </c>
      <c r="E344" s="15" t="inlineStr">
        <is>
          <t>Flasche</t>
        </is>
      </c>
      <c r="F344" s="17" t="inlineStr">
        <is>
          <t>1 Flasche</t>
        </is>
      </c>
      <c r="G344" s="17" t="inlineStr">
        <is>
          <t>Getränkefachgroßhandel</t>
        </is>
      </c>
      <c r="H344" s="17" t="inlineStr">
        <is>
          <t>Getränkelager</t>
        </is>
      </c>
      <c r="I344" s="17" t="inlineStr"/>
      <c r="K344">
        <f>IF($B344="",0,IF(Suche!$B$4="",1,IF(ISNUMBER(SEARCH(Suche!$B$4,$B344&amp;" "&amp;$C344&amp;" "&amp;$G344)),1,0)))</f>
        <v/>
      </c>
      <c r="L344">
        <f>IF($K344=0,"",SUM($K$5:$K344))</f>
        <v/>
      </c>
    </row>
    <row r="345">
      <c r="A345" s="12" t="inlineStr">
        <is>
          <t>73-016</t>
        </is>
      </c>
      <c r="B345" s="13" t="inlineStr">
        <is>
          <t>Zitronensorbet 5 l</t>
        </is>
      </c>
      <c r="C345" s="14" t="inlineStr">
        <is>
          <t>Küche – Tiefkühl</t>
        </is>
      </c>
      <c r="D345" s="14" t="inlineStr">
        <is>
          <t>Behälter 5 l</t>
        </is>
      </c>
      <c r="E345" s="12" t="inlineStr">
        <is>
          <t>l</t>
        </is>
      </c>
      <c r="F345" s="14" t="inlineStr">
        <is>
          <t>5 l/Behälter</t>
        </is>
      </c>
      <c r="G345" s="14" t="inlineStr">
        <is>
          <t>Lebensmittelgroßhandel</t>
        </is>
      </c>
      <c r="H345" s="14" t="inlineStr">
        <is>
          <t>Tiefkühllager</t>
        </is>
      </c>
      <c r="I345" s="14" t="inlineStr"/>
      <c r="K345">
        <f>IF($B345="",0,IF(Suche!$B$4="",1,IF(ISNUMBER(SEARCH(Suche!$B$4,$B345&amp;" "&amp;$C345&amp;" "&amp;$G345)),1,0)))</f>
        <v/>
      </c>
      <c r="L345">
        <f>IF($K345=0,"",SUM($K$5:$K345))</f>
        <v/>
      </c>
    </row>
    <row r="346">
      <c r="A346" s="15" t="inlineStr">
        <is>
          <t>70-004</t>
        </is>
      </c>
      <c r="B346" s="16" t="inlineStr">
        <is>
          <t>Zucker 1 kg</t>
        </is>
      </c>
      <c r="C346" s="17" t="inlineStr">
        <is>
          <t>Küche – Trockenlager</t>
        </is>
      </c>
      <c r="D346" s="17" t="inlineStr">
        <is>
          <t>Sack 10 kg</t>
        </is>
      </c>
      <c r="E346" s="15" t="inlineStr">
        <is>
          <t>kg</t>
        </is>
      </c>
      <c r="F346" s="17" t="inlineStr">
        <is>
          <t>10 kg/Sack</t>
        </is>
      </c>
      <c r="G346" s="17" t="inlineStr">
        <is>
          <t>Lebensmittelgroßhandel</t>
        </is>
      </c>
      <c r="H346" s="17" t="inlineStr">
        <is>
          <t>Trockenlager</t>
        </is>
      </c>
      <c r="I346" s="17" t="inlineStr"/>
      <c r="K346">
        <f>IF($B346="",0,IF(Suche!$B$4="",1,IF(ISNUMBER(SEARCH(Suche!$B$4,$B346&amp;" "&amp;$C346&amp;" "&amp;$G346)),1,0)))</f>
        <v/>
      </c>
      <c r="L346">
        <f>IF($K346=0,"",SUM($K$5:$K346))</f>
        <v/>
      </c>
    </row>
    <row r="347">
      <c r="A347" s="12" t="inlineStr">
        <is>
          <t>60-008</t>
        </is>
      </c>
      <c r="B347" s="13" t="inlineStr">
        <is>
          <t>Zuckersirup 0,7 l</t>
        </is>
      </c>
      <c r="C347" s="14" t="inlineStr">
        <is>
          <t>Bar – Zubehör &amp; Frischware</t>
        </is>
      </c>
      <c r="D347" s="14" t="inlineStr">
        <is>
          <t>Flasche 0,7 l</t>
        </is>
      </c>
      <c r="E347" s="12" t="inlineStr">
        <is>
          <t>Flasche</t>
        </is>
      </c>
      <c r="F347" s="14" t="inlineStr">
        <is>
          <t>1 Flasche</t>
        </is>
      </c>
      <c r="G347" s="14" t="inlineStr">
        <is>
          <t>Lebensmittelgroßhandel</t>
        </is>
      </c>
      <c r="H347" s="14" t="inlineStr">
        <is>
          <t>Bar</t>
        </is>
      </c>
      <c r="I347" s="14" t="inlineStr"/>
      <c r="K347">
        <f>IF($B347="",0,IF(Suche!$B$4="",1,IF(ISNUMBER(SEARCH(Suche!$B$4,$B347&amp;" "&amp;$C347&amp;" "&amp;$G347)),1,0)))</f>
        <v/>
      </c>
      <c r="L347">
        <f>IF($K347=0,"",SUM($K$5:$K347))</f>
        <v/>
      </c>
    </row>
    <row r="348">
      <c r="A348" s="15" t="inlineStr">
        <is>
          <t>50-008</t>
        </is>
      </c>
      <c r="B348" s="16" t="inlineStr">
        <is>
          <t>Zuckersticks 4 g</t>
        </is>
      </c>
      <c r="C348" s="17" t="inlineStr">
        <is>
          <t>Heißgetränke – Kaffee</t>
        </is>
      </c>
      <c r="D348" s="17" t="inlineStr">
        <is>
          <t>Karton 1000 Stück</t>
        </is>
      </c>
      <c r="E348" s="15" t="inlineStr">
        <is>
          <t>Stück</t>
        </is>
      </c>
      <c r="F348" s="17" t="inlineStr">
        <is>
          <t>1000 Sticks/Karton</t>
        </is>
      </c>
      <c r="G348" s="17" t="inlineStr">
        <is>
          <t>Kaffeelieferant</t>
        </is>
      </c>
      <c r="H348" s="17" t="inlineStr">
        <is>
          <t>Trockenlager</t>
        </is>
      </c>
      <c r="I348" s="17" t="inlineStr"/>
      <c r="K348">
        <f>IF($B348="",0,IF(Suche!$B$4="",1,IF(ISNUMBER(SEARCH(Suche!$B$4,$B348&amp;" "&amp;$C348&amp;" "&amp;$G348)),1,0)))</f>
        <v/>
      </c>
      <c r="L348">
        <f>IF($K348=0,"",SUM($K$5:$K348))</f>
        <v/>
      </c>
    </row>
    <row r="349">
      <c r="A349" s="12" t="inlineStr">
        <is>
          <t>32-013</t>
        </is>
      </c>
      <c r="B349" s="13" t="inlineStr">
        <is>
          <t>Zweigelt QbA trocken 0,75 l</t>
        </is>
      </c>
      <c r="C349" s="14" t="inlineStr">
        <is>
          <t>Wein – Rot</t>
        </is>
      </c>
      <c r="D349" s="14" t="inlineStr">
        <is>
          <t>Karton 6 × 0,75 l</t>
        </is>
      </c>
      <c r="E349" s="12" t="inlineStr">
        <is>
          <t>Flasche</t>
        </is>
      </c>
      <c r="F349" s="14" t="inlineStr">
        <is>
          <t>6 Flaschen/Karton</t>
        </is>
      </c>
      <c r="G349" s="14" t="inlineStr">
        <is>
          <t>Weinhandel</t>
        </is>
      </c>
      <c r="H349" s="14" t="inlineStr">
        <is>
          <t>Weinkeller</t>
        </is>
      </c>
      <c r="I349" s="14" t="inlineStr"/>
      <c r="K349">
        <f>IF($B349="",0,IF(Suche!$B$4="",1,IF(ISNUMBER(SEARCH(Suche!$B$4,$B349&amp;" "&amp;$C349&amp;" "&amp;$G349)),1,0)))</f>
        <v/>
      </c>
      <c r="L349">
        <f>IF($K349=0,"",SUM($K$5:$K349))</f>
        <v/>
      </c>
    </row>
    <row r="350">
      <c r="A350" s="15" t="inlineStr">
        <is>
          <t>40-003</t>
        </is>
      </c>
      <c r="B350" s="16" t="inlineStr">
        <is>
          <t>Zwetschgenwasser 0,7 l</t>
        </is>
      </c>
      <c r="C350" s="17" t="inlineStr">
        <is>
          <t>Spirituosen – Obstbrände</t>
        </is>
      </c>
      <c r="D350" s="17" t="inlineStr">
        <is>
          <t>Flasche 0,7 l</t>
        </is>
      </c>
      <c r="E350" s="15" t="inlineStr">
        <is>
          <t>Flasche</t>
        </is>
      </c>
      <c r="F350" s="17" t="inlineStr">
        <is>
          <t>1 Flasche</t>
        </is>
      </c>
      <c r="G350" s="17" t="inlineStr">
        <is>
          <t>Spirituosenhandel</t>
        </is>
      </c>
      <c r="H350" s="17" t="inlineStr">
        <is>
          <t>Keller</t>
        </is>
      </c>
      <c r="I350" s="17" t="inlineStr"/>
      <c r="K350">
        <f>IF($B350="",0,IF(Suche!$B$4="",1,IF(ISNUMBER(SEARCH(Suche!$B$4,$B350&amp;" "&amp;$C350&amp;" "&amp;$G350)),1,0)))</f>
        <v/>
      </c>
      <c r="L350">
        <f>IF($K350=0,"",SUM($K$5:$K350))</f>
        <v/>
      </c>
    </row>
    <row r="351">
      <c r="A351" s="12" t="inlineStr">
        <is>
          <t>70-032</t>
        </is>
      </c>
      <c r="B351" s="13" t="inlineStr">
        <is>
          <t>Zwiebeln 10 kg</t>
        </is>
      </c>
      <c r="C351" s="14" t="inlineStr">
        <is>
          <t>Küche – Trockenlager</t>
        </is>
      </c>
      <c r="D351" s="14" t="inlineStr">
        <is>
          <t>Sack 10 kg</t>
        </is>
      </c>
      <c r="E351" s="12" t="inlineStr">
        <is>
          <t>kg</t>
        </is>
      </c>
      <c r="F351" s="14" t="inlineStr">
        <is>
          <t>10 kg/Sack</t>
        </is>
      </c>
      <c r="G351" s="14" t="inlineStr">
        <is>
          <t>Lebensmittelgroßhandel</t>
        </is>
      </c>
      <c r="H351" s="14" t="inlineStr">
        <is>
          <t>Trockenlager</t>
        </is>
      </c>
      <c r="I351" s="14" t="inlineStr"/>
      <c r="K351">
        <f>IF($B351="",0,IF(Suche!$B$4="",1,IF(ISNUMBER(SEARCH(Suche!$B$4,$B351&amp;" "&amp;$C351&amp;" "&amp;$G351)),1,0)))</f>
        <v/>
      </c>
      <c r="L351">
        <f>IF($K351=0,"",SUM($K$5:$K351))</f>
        <v/>
      </c>
    </row>
    <row r="352">
      <c r="K352">
        <f>IF($B352="",0,IF(Suche!$B$4="",1,IF(ISNUMBER(SEARCH(Suche!$B$4,$B352&amp;" "&amp;$C352&amp;" "&amp;$G352)),1,0)))</f>
        <v/>
      </c>
      <c r="L352">
        <f>IF($K352=0,"",SUM($K$5:$K352))</f>
        <v/>
      </c>
    </row>
    <row r="353">
      <c r="K353">
        <f>IF($B353="",0,IF(Suche!$B$4="",1,IF(ISNUMBER(SEARCH(Suche!$B$4,$B353&amp;" "&amp;$C353&amp;" "&amp;$G353)),1,0)))</f>
        <v/>
      </c>
      <c r="L353">
        <f>IF($K353=0,"",SUM($K$5:$K353))</f>
        <v/>
      </c>
    </row>
    <row r="354">
      <c r="K354">
        <f>IF($B354="",0,IF(Suche!$B$4="",1,IF(ISNUMBER(SEARCH(Suche!$B$4,$B354&amp;" "&amp;$C354&amp;" "&amp;$G354)),1,0)))</f>
        <v/>
      </c>
      <c r="L354">
        <f>IF($K354=0,"",SUM($K$5:$K354))</f>
        <v/>
      </c>
    </row>
    <row r="355">
      <c r="K355">
        <f>IF($B355="",0,IF(Suche!$B$4="",1,IF(ISNUMBER(SEARCH(Suche!$B$4,$B355&amp;" "&amp;$C355&amp;" "&amp;$G355)),1,0)))</f>
        <v/>
      </c>
      <c r="L355">
        <f>IF($K355=0,"",SUM($K$5:$K355))</f>
        <v/>
      </c>
    </row>
    <row r="356">
      <c r="K356">
        <f>IF($B356="",0,IF(Suche!$B$4="",1,IF(ISNUMBER(SEARCH(Suche!$B$4,$B356&amp;" "&amp;$C356&amp;" "&amp;$G356)),1,0)))</f>
        <v/>
      </c>
      <c r="L356">
        <f>IF($K356=0,"",SUM($K$5:$K356))</f>
        <v/>
      </c>
    </row>
    <row r="357">
      <c r="K357">
        <f>IF($B357="",0,IF(Suche!$B$4="",1,IF(ISNUMBER(SEARCH(Suche!$B$4,$B357&amp;" "&amp;$C357&amp;" "&amp;$G357)),1,0)))</f>
        <v/>
      </c>
      <c r="L357">
        <f>IF($K357=0,"",SUM($K$5:$K357))</f>
        <v/>
      </c>
    </row>
    <row r="358">
      <c r="K358">
        <f>IF($B358="",0,IF(Suche!$B$4="",1,IF(ISNUMBER(SEARCH(Suche!$B$4,$B358&amp;" "&amp;$C358&amp;" "&amp;$G358)),1,0)))</f>
        <v/>
      </c>
      <c r="L358">
        <f>IF($K358=0,"",SUM($K$5:$K358))</f>
        <v/>
      </c>
    </row>
    <row r="359">
      <c r="K359">
        <f>IF($B359="",0,IF(Suche!$B$4="",1,IF(ISNUMBER(SEARCH(Suche!$B$4,$B359&amp;" "&amp;$C359&amp;" "&amp;$G359)),1,0)))</f>
        <v/>
      </c>
      <c r="L359">
        <f>IF($K359=0,"",SUM($K$5:$K359))</f>
        <v/>
      </c>
    </row>
    <row r="360">
      <c r="K360">
        <f>IF($B360="",0,IF(Suche!$B$4="",1,IF(ISNUMBER(SEARCH(Suche!$B$4,$B360&amp;" "&amp;$C360&amp;" "&amp;$G360)),1,0)))</f>
        <v/>
      </c>
      <c r="L360">
        <f>IF($K360=0,"",SUM($K$5:$K360))</f>
        <v/>
      </c>
    </row>
    <row r="361">
      <c r="K361">
        <f>IF($B361="",0,IF(Suche!$B$4="",1,IF(ISNUMBER(SEARCH(Suche!$B$4,$B361&amp;" "&amp;$C361&amp;" "&amp;$G361)),1,0)))</f>
        <v/>
      </c>
      <c r="L361">
        <f>IF($K361=0,"",SUM($K$5:$K361))</f>
        <v/>
      </c>
    </row>
    <row r="362">
      <c r="K362">
        <f>IF($B362="",0,IF(Suche!$B$4="",1,IF(ISNUMBER(SEARCH(Suche!$B$4,$B362&amp;" "&amp;$C362&amp;" "&amp;$G362)),1,0)))</f>
        <v/>
      </c>
      <c r="L362">
        <f>IF($K362=0,"",SUM($K$5:$K362))</f>
        <v/>
      </c>
    </row>
    <row r="363">
      <c r="K363">
        <f>IF($B363="",0,IF(Suche!$B$4="",1,IF(ISNUMBER(SEARCH(Suche!$B$4,$B363&amp;" "&amp;$C363&amp;" "&amp;$G363)),1,0)))</f>
        <v/>
      </c>
      <c r="L363">
        <f>IF($K363=0,"",SUM($K$5:$K363))</f>
        <v/>
      </c>
    </row>
    <row r="364">
      <c r="K364">
        <f>IF($B364="",0,IF(Suche!$B$4="",1,IF(ISNUMBER(SEARCH(Suche!$B$4,$B364&amp;" "&amp;$C364&amp;" "&amp;$G364)),1,0)))</f>
        <v/>
      </c>
      <c r="L364">
        <f>IF($K364=0,"",SUM($K$5:$K364))</f>
        <v/>
      </c>
    </row>
    <row r="365">
      <c r="K365">
        <f>IF($B365="",0,IF(Suche!$B$4="",1,IF(ISNUMBER(SEARCH(Suche!$B$4,$B365&amp;" "&amp;$C365&amp;" "&amp;$G365)),1,0)))</f>
        <v/>
      </c>
      <c r="L365">
        <f>IF($K365=0,"",SUM($K$5:$K365))</f>
        <v/>
      </c>
    </row>
    <row r="366">
      <c r="K366">
        <f>IF($B366="",0,IF(Suche!$B$4="",1,IF(ISNUMBER(SEARCH(Suche!$B$4,$B366&amp;" "&amp;$C366&amp;" "&amp;$G366)),1,0)))</f>
        <v/>
      </c>
      <c r="L366">
        <f>IF($K366=0,"",SUM($K$5:$K366))</f>
        <v/>
      </c>
    </row>
    <row r="367">
      <c r="K367">
        <f>IF($B367="",0,IF(Suche!$B$4="",1,IF(ISNUMBER(SEARCH(Suche!$B$4,$B367&amp;" "&amp;$C367&amp;" "&amp;$G367)),1,0)))</f>
        <v/>
      </c>
      <c r="L367">
        <f>IF($K367=0,"",SUM($K$5:$K367))</f>
        <v/>
      </c>
    </row>
    <row r="368">
      <c r="K368">
        <f>IF($B368="",0,IF(Suche!$B$4="",1,IF(ISNUMBER(SEARCH(Suche!$B$4,$B368&amp;" "&amp;$C368&amp;" "&amp;$G368)),1,0)))</f>
        <v/>
      </c>
      <c r="L368">
        <f>IF($K368=0,"",SUM($K$5:$K368))</f>
        <v/>
      </c>
    </row>
    <row r="369">
      <c r="K369">
        <f>IF($B369="",0,IF(Suche!$B$4="",1,IF(ISNUMBER(SEARCH(Suche!$B$4,$B369&amp;" "&amp;$C369&amp;" "&amp;$G369)),1,0)))</f>
        <v/>
      </c>
      <c r="L369">
        <f>IF($K369=0,"",SUM($K$5:$K369))</f>
        <v/>
      </c>
    </row>
    <row r="370">
      <c r="K370">
        <f>IF($B370="",0,IF(Suche!$B$4="",1,IF(ISNUMBER(SEARCH(Suche!$B$4,$B370&amp;" "&amp;$C370&amp;" "&amp;$G370)),1,0)))</f>
        <v/>
      </c>
      <c r="L370">
        <f>IF($K370=0,"",SUM($K$5:$K370))</f>
        <v/>
      </c>
    </row>
    <row r="371">
      <c r="K371">
        <f>IF($B371="",0,IF(Suche!$B$4="",1,IF(ISNUMBER(SEARCH(Suche!$B$4,$B371&amp;" "&amp;$C371&amp;" "&amp;$G371)),1,0)))</f>
        <v/>
      </c>
      <c r="L371">
        <f>IF($K371=0,"",SUM($K$5:$K371))</f>
        <v/>
      </c>
    </row>
    <row r="372">
      <c r="K372">
        <f>IF($B372="",0,IF(Suche!$B$4="",1,IF(ISNUMBER(SEARCH(Suche!$B$4,$B372&amp;" "&amp;$C372&amp;" "&amp;$G372)),1,0)))</f>
        <v/>
      </c>
      <c r="L372">
        <f>IF($K372=0,"",SUM($K$5:$K372))</f>
        <v/>
      </c>
    </row>
    <row r="373">
      <c r="K373">
        <f>IF($B373="",0,IF(Suche!$B$4="",1,IF(ISNUMBER(SEARCH(Suche!$B$4,$B373&amp;" "&amp;$C373&amp;" "&amp;$G373)),1,0)))</f>
        <v/>
      </c>
      <c r="L373">
        <f>IF($K373=0,"",SUM($K$5:$K373))</f>
        <v/>
      </c>
    </row>
    <row r="374">
      <c r="K374">
        <f>IF($B374="",0,IF(Suche!$B$4="",1,IF(ISNUMBER(SEARCH(Suche!$B$4,$B374&amp;" "&amp;$C374&amp;" "&amp;$G374)),1,0)))</f>
        <v/>
      </c>
      <c r="L374">
        <f>IF($K374=0,"",SUM($K$5:$K374))</f>
        <v/>
      </c>
    </row>
    <row r="375">
      <c r="K375">
        <f>IF($B375="",0,IF(Suche!$B$4="",1,IF(ISNUMBER(SEARCH(Suche!$B$4,$B375&amp;" "&amp;$C375&amp;" "&amp;$G375)),1,0)))</f>
        <v/>
      </c>
      <c r="L375">
        <f>IF($K375=0,"",SUM($K$5:$K375))</f>
        <v/>
      </c>
    </row>
    <row r="376">
      <c r="K376">
        <f>IF($B376="",0,IF(Suche!$B$4="",1,IF(ISNUMBER(SEARCH(Suche!$B$4,$B376&amp;" "&amp;$C376&amp;" "&amp;$G376)),1,0)))</f>
        <v/>
      </c>
      <c r="L376">
        <f>IF($K376=0,"",SUM($K$5:$K376))</f>
        <v/>
      </c>
    </row>
    <row r="377">
      <c r="K377">
        <f>IF($B377="",0,IF(Suche!$B$4="",1,IF(ISNUMBER(SEARCH(Suche!$B$4,$B377&amp;" "&amp;$C377&amp;" "&amp;$G377)),1,0)))</f>
        <v/>
      </c>
      <c r="L377">
        <f>IF($K377=0,"",SUM($K$5:$K377))</f>
        <v/>
      </c>
    </row>
    <row r="378">
      <c r="K378">
        <f>IF($B378="",0,IF(Suche!$B$4="",1,IF(ISNUMBER(SEARCH(Suche!$B$4,$B378&amp;" "&amp;$C378&amp;" "&amp;$G378)),1,0)))</f>
        <v/>
      </c>
      <c r="L378">
        <f>IF($K378=0,"",SUM($K$5:$K378))</f>
        <v/>
      </c>
    </row>
    <row r="379">
      <c r="K379">
        <f>IF($B379="",0,IF(Suche!$B$4="",1,IF(ISNUMBER(SEARCH(Suche!$B$4,$B379&amp;" "&amp;$C379&amp;" "&amp;$G379)),1,0)))</f>
        <v/>
      </c>
      <c r="L379">
        <f>IF($K379=0,"",SUM($K$5:$K379))</f>
        <v/>
      </c>
    </row>
    <row r="380">
      <c r="K380">
        <f>IF($B380="",0,IF(Suche!$B$4="",1,IF(ISNUMBER(SEARCH(Suche!$B$4,$B380&amp;" "&amp;$C380&amp;" "&amp;$G380)),1,0)))</f>
        <v/>
      </c>
      <c r="L380">
        <f>IF($K380=0,"",SUM($K$5:$K380))</f>
        <v/>
      </c>
    </row>
    <row r="381">
      <c r="K381">
        <f>IF($B381="",0,IF(Suche!$B$4="",1,IF(ISNUMBER(SEARCH(Suche!$B$4,$B381&amp;" "&amp;$C381&amp;" "&amp;$G381)),1,0)))</f>
        <v/>
      </c>
      <c r="L381">
        <f>IF($K381=0,"",SUM($K$5:$K381))</f>
        <v/>
      </c>
    </row>
    <row r="382">
      <c r="K382">
        <f>IF($B382="",0,IF(Suche!$B$4="",1,IF(ISNUMBER(SEARCH(Suche!$B$4,$B382&amp;" "&amp;$C382&amp;" "&amp;$G382)),1,0)))</f>
        <v/>
      </c>
      <c r="L382">
        <f>IF($K382=0,"",SUM($K$5:$K382))</f>
        <v/>
      </c>
    </row>
    <row r="383">
      <c r="K383">
        <f>IF($B383="",0,IF(Suche!$B$4="",1,IF(ISNUMBER(SEARCH(Suche!$B$4,$B383&amp;" "&amp;$C383&amp;" "&amp;$G383)),1,0)))</f>
        <v/>
      </c>
      <c r="L383">
        <f>IF($K383=0,"",SUM($K$5:$K383))</f>
        <v/>
      </c>
    </row>
    <row r="384">
      <c r="K384">
        <f>IF($B384="",0,IF(Suche!$B$4="",1,IF(ISNUMBER(SEARCH(Suche!$B$4,$B384&amp;" "&amp;$C384&amp;" "&amp;$G384)),1,0)))</f>
        <v/>
      </c>
      <c r="L384">
        <f>IF($K384=0,"",SUM($K$5:$K384))</f>
        <v/>
      </c>
    </row>
    <row r="385">
      <c r="K385">
        <f>IF($B385="",0,IF(Suche!$B$4="",1,IF(ISNUMBER(SEARCH(Suche!$B$4,$B385&amp;" "&amp;$C385&amp;" "&amp;$G385)),1,0)))</f>
        <v/>
      </c>
      <c r="L385">
        <f>IF($K385=0,"",SUM($K$5:$K385))</f>
        <v/>
      </c>
    </row>
    <row r="386">
      <c r="K386">
        <f>IF($B386="",0,IF(Suche!$B$4="",1,IF(ISNUMBER(SEARCH(Suche!$B$4,$B386&amp;" "&amp;$C386&amp;" "&amp;$G386)),1,0)))</f>
        <v/>
      </c>
      <c r="L386">
        <f>IF($K386=0,"",SUM($K$5:$K386))</f>
        <v/>
      </c>
    </row>
    <row r="387">
      <c r="K387">
        <f>IF($B387="",0,IF(Suche!$B$4="",1,IF(ISNUMBER(SEARCH(Suche!$B$4,$B387&amp;" "&amp;$C387&amp;" "&amp;$G387)),1,0)))</f>
        <v/>
      </c>
      <c r="L387">
        <f>IF($K387=0,"",SUM($K$5:$K387))</f>
        <v/>
      </c>
    </row>
    <row r="388">
      <c r="K388">
        <f>IF($B388="",0,IF(Suche!$B$4="",1,IF(ISNUMBER(SEARCH(Suche!$B$4,$B388&amp;" "&amp;$C388&amp;" "&amp;$G388)),1,0)))</f>
        <v/>
      </c>
      <c r="L388">
        <f>IF($K388=0,"",SUM($K$5:$K388))</f>
        <v/>
      </c>
    </row>
    <row r="389">
      <c r="K389">
        <f>IF($B389="",0,IF(Suche!$B$4="",1,IF(ISNUMBER(SEARCH(Suche!$B$4,$B389&amp;" "&amp;$C389&amp;" "&amp;$G389)),1,0)))</f>
        <v/>
      </c>
      <c r="L389">
        <f>IF($K389=0,"",SUM($K$5:$K389))</f>
        <v/>
      </c>
    </row>
    <row r="390">
      <c r="K390">
        <f>IF($B390="",0,IF(Suche!$B$4="",1,IF(ISNUMBER(SEARCH(Suche!$B$4,$B390&amp;" "&amp;$C390&amp;" "&amp;$G390)),1,0)))</f>
        <v/>
      </c>
      <c r="L390">
        <f>IF($K390=0,"",SUM($K$5:$K390))</f>
        <v/>
      </c>
    </row>
    <row r="391">
      <c r="K391">
        <f>IF($B391="",0,IF(Suche!$B$4="",1,IF(ISNUMBER(SEARCH(Suche!$B$4,$B391&amp;" "&amp;$C391&amp;" "&amp;$G391)),1,0)))</f>
        <v/>
      </c>
      <c r="L391">
        <f>IF($K391=0,"",SUM($K$5:$K391))</f>
        <v/>
      </c>
    </row>
    <row r="392">
      <c r="K392">
        <f>IF($B392="",0,IF(Suche!$B$4="",1,IF(ISNUMBER(SEARCH(Suche!$B$4,$B392&amp;" "&amp;$C392&amp;" "&amp;$G392)),1,0)))</f>
        <v/>
      </c>
      <c r="L392">
        <f>IF($K392=0,"",SUM($K$5:$K392))</f>
        <v/>
      </c>
    </row>
    <row r="393">
      <c r="K393">
        <f>IF($B393="",0,IF(Suche!$B$4="",1,IF(ISNUMBER(SEARCH(Suche!$B$4,$B393&amp;" "&amp;$C393&amp;" "&amp;$G393)),1,0)))</f>
        <v/>
      </c>
      <c r="L393">
        <f>IF($K393=0,"",SUM($K$5:$K393))</f>
        <v/>
      </c>
    </row>
    <row r="394">
      <c r="K394">
        <f>IF($B394="",0,IF(Suche!$B$4="",1,IF(ISNUMBER(SEARCH(Suche!$B$4,$B394&amp;" "&amp;$C394&amp;" "&amp;$G394)),1,0)))</f>
        <v/>
      </c>
      <c r="L394">
        <f>IF($K394=0,"",SUM($K$5:$K394))</f>
        <v/>
      </c>
    </row>
    <row r="395">
      <c r="K395">
        <f>IF($B395="",0,IF(Suche!$B$4="",1,IF(ISNUMBER(SEARCH(Suche!$B$4,$B395&amp;" "&amp;$C395&amp;" "&amp;$G395)),1,0)))</f>
        <v/>
      </c>
      <c r="L395">
        <f>IF($K395=0,"",SUM($K$5:$K395))</f>
        <v/>
      </c>
    </row>
    <row r="396">
      <c r="K396">
        <f>IF($B396="",0,IF(Suche!$B$4="",1,IF(ISNUMBER(SEARCH(Suche!$B$4,$B396&amp;" "&amp;$C396&amp;" "&amp;$G396)),1,0)))</f>
        <v/>
      </c>
      <c r="L396">
        <f>IF($K396=0,"",SUM($K$5:$K396))</f>
        <v/>
      </c>
    </row>
    <row r="397">
      <c r="K397">
        <f>IF($B397="",0,IF(Suche!$B$4="",1,IF(ISNUMBER(SEARCH(Suche!$B$4,$B397&amp;" "&amp;$C397&amp;" "&amp;$G397)),1,0)))</f>
        <v/>
      </c>
      <c r="L397">
        <f>IF($K397=0,"",SUM($K$5:$K397))</f>
        <v/>
      </c>
    </row>
    <row r="398">
      <c r="K398">
        <f>IF($B398="",0,IF(Suche!$B$4="",1,IF(ISNUMBER(SEARCH(Suche!$B$4,$B398&amp;" "&amp;$C398&amp;" "&amp;$G398)),1,0)))</f>
        <v/>
      </c>
      <c r="L398">
        <f>IF($K398=0,"",SUM($K$5:$K398))</f>
        <v/>
      </c>
    </row>
    <row r="399">
      <c r="K399">
        <f>IF($B399="",0,IF(Suche!$B$4="",1,IF(ISNUMBER(SEARCH(Suche!$B$4,$B399&amp;" "&amp;$C399&amp;" "&amp;$G399)),1,0)))</f>
        <v/>
      </c>
      <c r="L399">
        <f>IF($K399=0,"",SUM($K$5:$K399))</f>
        <v/>
      </c>
    </row>
    <row r="400">
      <c r="K400">
        <f>IF($B400="",0,IF(Suche!$B$4="",1,IF(ISNUMBER(SEARCH(Suche!$B$4,$B400&amp;" "&amp;$C400&amp;" "&amp;$G400)),1,0)))</f>
        <v/>
      </c>
      <c r="L400">
        <f>IF($K400=0,"",SUM($K$5:$K400))</f>
        <v/>
      </c>
    </row>
    <row r="401">
      <c r="K401">
        <f>IF($B401="",0,IF(Suche!$B$4="",1,IF(ISNUMBER(SEARCH(Suche!$B$4,$B401&amp;" "&amp;$C401&amp;" "&amp;$G401)),1,0)))</f>
        <v/>
      </c>
      <c r="L401">
        <f>IF($K401=0,"",SUM($K$5:$K401))</f>
        <v/>
      </c>
    </row>
    <row r="402">
      <c r="K402">
        <f>IF($B402="",0,IF(Suche!$B$4="",1,IF(ISNUMBER(SEARCH(Suche!$B$4,$B402&amp;" "&amp;$C402&amp;" "&amp;$G402)),1,0)))</f>
        <v/>
      </c>
      <c r="L402">
        <f>IF($K402=0,"",SUM($K$5:$K402))</f>
        <v/>
      </c>
    </row>
    <row r="403">
      <c r="K403">
        <f>IF($B403="",0,IF(Suche!$B$4="",1,IF(ISNUMBER(SEARCH(Suche!$B$4,$B403&amp;" "&amp;$C403&amp;" "&amp;$G403)),1,0)))</f>
        <v/>
      </c>
      <c r="L403">
        <f>IF($K403=0,"",SUM($K$5:$K403))</f>
        <v/>
      </c>
    </row>
    <row r="404">
      <c r="K404">
        <f>IF($B404="",0,IF(Suche!$B$4="",1,IF(ISNUMBER(SEARCH(Suche!$B$4,$B404&amp;" "&amp;$C404&amp;" "&amp;$G404)),1,0)))</f>
        <v/>
      </c>
      <c r="L404">
        <f>IF($K404=0,"",SUM($K$5:$K404))</f>
        <v/>
      </c>
    </row>
    <row r="405">
      <c r="K405">
        <f>IF($B405="",0,IF(Suche!$B$4="",1,IF(ISNUMBER(SEARCH(Suche!$B$4,$B405&amp;" "&amp;$C405&amp;" "&amp;$G405)),1,0)))</f>
        <v/>
      </c>
      <c r="L405">
        <f>IF($K405=0,"",SUM($K$5:$K405))</f>
        <v/>
      </c>
    </row>
    <row r="406">
      <c r="K406">
        <f>IF($B406="",0,IF(Suche!$B$4="",1,IF(ISNUMBER(SEARCH(Suche!$B$4,$B406&amp;" "&amp;$C406&amp;" "&amp;$G406)),1,0)))</f>
        <v/>
      </c>
      <c r="L406">
        <f>IF($K406=0,"",SUM($K$5:$K406))</f>
        <v/>
      </c>
    </row>
    <row r="407">
      <c r="K407">
        <f>IF($B407="",0,IF(Suche!$B$4="",1,IF(ISNUMBER(SEARCH(Suche!$B$4,$B407&amp;" "&amp;$C407&amp;" "&amp;$G407)),1,0)))</f>
        <v/>
      </c>
      <c r="L407">
        <f>IF($K407=0,"",SUM($K$5:$K407))</f>
        <v/>
      </c>
    </row>
    <row r="408">
      <c r="K408">
        <f>IF($B408="",0,IF(Suche!$B$4="",1,IF(ISNUMBER(SEARCH(Suche!$B$4,$B408&amp;" "&amp;$C408&amp;" "&amp;$G408)),1,0)))</f>
        <v/>
      </c>
      <c r="L408">
        <f>IF($K408=0,"",SUM($K$5:$K408))</f>
        <v/>
      </c>
    </row>
    <row r="409">
      <c r="K409">
        <f>IF($B409="",0,IF(Suche!$B$4="",1,IF(ISNUMBER(SEARCH(Suche!$B$4,$B409&amp;" "&amp;$C409&amp;" "&amp;$G409)),1,0)))</f>
        <v/>
      </c>
      <c r="L409">
        <f>IF($K409=0,"",SUM($K$5:$K409))</f>
        <v/>
      </c>
    </row>
    <row r="410">
      <c r="K410">
        <f>IF($B410="",0,IF(Suche!$B$4="",1,IF(ISNUMBER(SEARCH(Suche!$B$4,$B410&amp;" "&amp;$C410&amp;" "&amp;$G410)),1,0)))</f>
        <v/>
      </c>
      <c r="L410">
        <f>IF($K410=0,"",SUM($K$5:$K410))</f>
        <v/>
      </c>
    </row>
    <row r="411">
      <c r="K411">
        <f>IF($B411="",0,IF(Suche!$B$4="",1,IF(ISNUMBER(SEARCH(Suche!$B$4,$B411&amp;" "&amp;$C411&amp;" "&amp;$G411)),1,0)))</f>
        <v/>
      </c>
      <c r="L411">
        <f>IF($K411=0,"",SUM($K$5:$K411))</f>
        <v/>
      </c>
    </row>
    <row r="412">
      <c r="K412">
        <f>IF($B412="",0,IF(Suche!$B$4="",1,IF(ISNUMBER(SEARCH(Suche!$B$4,$B412&amp;" "&amp;$C412&amp;" "&amp;$G412)),1,0)))</f>
        <v/>
      </c>
      <c r="L412">
        <f>IF($K412=0,"",SUM($K$5:$K412))</f>
        <v/>
      </c>
    </row>
    <row r="413">
      <c r="K413">
        <f>IF($B413="",0,IF(Suche!$B$4="",1,IF(ISNUMBER(SEARCH(Suche!$B$4,$B413&amp;" "&amp;$C413&amp;" "&amp;$G413)),1,0)))</f>
        <v/>
      </c>
      <c r="L413">
        <f>IF($K413=0,"",SUM($K$5:$K413))</f>
        <v/>
      </c>
    </row>
    <row r="414">
      <c r="K414">
        <f>IF($B414="",0,IF(Suche!$B$4="",1,IF(ISNUMBER(SEARCH(Suche!$B$4,$B414&amp;" "&amp;$C414&amp;" "&amp;$G414)),1,0)))</f>
        <v/>
      </c>
      <c r="L414">
        <f>IF($K414=0,"",SUM($K$5:$K414))</f>
        <v/>
      </c>
    </row>
    <row r="415">
      <c r="K415">
        <f>IF($B415="",0,IF(Suche!$B$4="",1,IF(ISNUMBER(SEARCH(Suche!$B$4,$B415&amp;" "&amp;$C415&amp;" "&amp;$G415)),1,0)))</f>
        <v/>
      </c>
      <c r="L415">
        <f>IF($K415=0,"",SUM($K$5:$K415))</f>
        <v/>
      </c>
    </row>
    <row r="416">
      <c r="K416">
        <f>IF($B416="",0,IF(Suche!$B$4="",1,IF(ISNUMBER(SEARCH(Suche!$B$4,$B416&amp;" "&amp;$C416&amp;" "&amp;$G416)),1,0)))</f>
        <v/>
      </c>
      <c r="L416">
        <f>IF($K416=0,"",SUM($K$5:$K416))</f>
        <v/>
      </c>
    </row>
    <row r="417">
      <c r="K417">
        <f>IF($B417="",0,IF(Suche!$B$4="",1,IF(ISNUMBER(SEARCH(Suche!$B$4,$B417&amp;" "&amp;$C417&amp;" "&amp;$G417)),1,0)))</f>
        <v/>
      </c>
      <c r="L417">
        <f>IF($K417=0,"",SUM($K$5:$K417))</f>
        <v/>
      </c>
    </row>
    <row r="418">
      <c r="K418">
        <f>IF($B418="",0,IF(Suche!$B$4="",1,IF(ISNUMBER(SEARCH(Suche!$B$4,$B418&amp;" "&amp;$C418&amp;" "&amp;$G418)),1,0)))</f>
        <v/>
      </c>
      <c r="L418">
        <f>IF($K418=0,"",SUM($K$5:$K418))</f>
        <v/>
      </c>
    </row>
    <row r="419">
      <c r="K419">
        <f>IF($B419="",0,IF(Suche!$B$4="",1,IF(ISNUMBER(SEARCH(Suche!$B$4,$B419&amp;" "&amp;$C419&amp;" "&amp;$G419)),1,0)))</f>
        <v/>
      </c>
      <c r="L419">
        <f>IF($K419=0,"",SUM($K$5:$K419))</f>
        <v/>
      </c>
    </row>
    <row r="420">
      <c r="K420">
        <f>IF($B420="",0,IF(Suche!$B$4="",1,IF(ISNUMBER(SEARCH(Suche!$B$4,$B420&amp;" "&amp;$C420&amp;" "&amp;$G420)),1,0)))</f>
        <v/>
      </c>
      <c r="L420">
        <f>IF($K420=0,"",SUM($K$5:$K420))</f>
        <v/>
      </c>
    </row>
    <row r="421">
      <c r="K421">
        <f>IF($B421="",0,IF(Suche!$B$4="",1,IF(ISNUMBER(SEARCH(Suche!$B$4,$B421&amp;" "&amp;$C421&amp;" "&amp;$G421)),1,0)))</f>
        <v/>
      </c>
      <c r="L421">
        <f>IF($K421=0,"",SUM($K$5:$K421))</f>
        <v/>
      </c>
    </row>
    <row r="422">
      <c r="K422">
        <f>IF($B422="",0,IF(Suche!$B$4="",1,IF(ISNUMBER(SEARCH(Suche!$B$4,$B422&amp;" "&amp;$C422&amp;" "&amp;$G422)),1,0)))</f>
        <v/>
      </c>
      <c r="L422">
        <f>IF($K422=0,"",SUM($K$5:$K422))</f>
        <v/>
      </c>
    </row>
    <row r="423">
      <c r="K423">
        <f>IF($B423="",0,IF(Suche!$B$4="",1,IF(ISNUMBER(SEARCH(Suche!$B$4,$B423&amp;" "&amp;$C423&amp;" "&amp;$G423)),1,0)))</f>
        <v/>
      </c>
      <c r="L423">
        <f>IF($K423=0,"",SUM($K$5:$K423))</f>
        <v/>
      </c>
    </row>
    <row r="424">
      <c r="K424">
        <f>IF($B424="",0,IF(Suche!$B$4="",1,IF(ISNUMBER(SEARCH(Suche!$B$4,$B424&amp;" "&amp;$C424&amp;" "&amp;$G424)),1,0)))</f>
        <v/>
      </c>
      <c r="L424">
        <f>IF($K424=0,"",SUM($K$5:$K424))</f>
        <v/>
      </c>
    </row>
    <row r="425">
      <c r="K425">
        <f>IF($B425="",0,IF(Suche!$B$4="",1,IF(ISNUMBER(SEARCH(Suche!$B$4,$B425&amp;" "&amp;$C425&amp;" "&amp;$G425)),1,0)))</f>
        <v/>
      </c>
      <c r="L425">
        <f>IF($K425=0,"",SUM($K$5:$K425))</f>
        <v/>
      </c>
    </row>
    <row r="426">
      <c r="K426">
        <f>IF($B426="",0,IF(Suche!$B$4="",1,IF(ISNUMBER(SEARCH(Suche!$B$4,$B426&amp;" "&amp;$C426&amp;" "&amp;$G426)),1,0)))</f>
        <v/>
      </c>
      <c r="L426">
        <f>IF($K426=0,"",SUM($K$5:$K426))</f>
        <v/>
      </c>
    </row>
    <row r="427">
      <c r="K427">
        <f>IF($B427="",0,IF(Suche!$B$4="",1,IF(ISNUMBER(SEARCH(Suche!$B$4,$B427&amp;" "&amp;$C427&amp;" "&amp;$G427)),1,0)))</f>
        <v/>
      </c>
      <c r="L427">
        <f>IF($K427=0,"",SUM($K$5:$K427))</f>
        <v/>
      </c>
    </row>
    <row r="428">
      <c r="K428">
        <f>IF($B428="",0,IF(Suche!$B$4="",1,IF(ISNUMBER(SEARCH(Suche!$B$4,$B428&amp;" "&amp;$C428&amp;" "&amp;$G428)),1,0)))</f>
        <v/>
      </c>
      <c r="L428">
        <f>IF($K428=0,"",SUM($K$5:$K428))</f>
        <v/>
      </c>
    </row>
    <row r="429">
      <c r="K429">
        <f>IF($B429="",0,IF(Suche!$B$4="",1,IF(ISNUMBER(SEARCH(Suche!$B$4,$B429&amp;" "&amp;$C429&amp;" "&amp;$G429)),1,0)))</f>
        <v/>
      </c>
      <c r="L429">
        <f>IF($K429=0,"",SUM($K$5:$K429))</f>
        <v/>
      </c>
    </row>
    <row r="430">
      <c r="K430">
        <f>IF($B430="",0,IF(Suche!$B$4="",1,IF(ISNUMBER(SEARCH(Suche!$B$4,$B430&amp;" "&amp;$C430&amp;" "&amp;$G430)),1,0)))</f>
        <v/>
      </c>
      <c r="L430">
        <f>IF($K430=0,"",SUM($K$5:$K430))</f>
        <v/>
      </c>
    </row>
    <row r="431">
      <c r="K431">
        <f>IF($B431="",0,IF(Suche!$B$4="",1,IF(ISNUMBER(SEARCH(Suche!$B$4,$B431&amp;" "&amp;$C431&amp;" "&amp;$G431)),1,0)))</f>
        <v/>
      </c>
      <c r="L431">
        <f>IF($K431=0,"",SUM($K$5:$K431))</f>
        <v/>
      </c>
    </row>
    <row r="432">
      <c r="K432">
        <f>IF($B432="",0,IF(Suche!$B$4="",1,IF(ISNUMBER(SEARCH(Suche!$B$4,$B432&amp;" "&amp;$C432&amp;" "&amp;$G432)),1,0)))</f>
        <v/>
      </c>
      <c r="L432">
        <f>IF($K432=0,"",SUM($K$5:$K432))</f>
        <v/>
      </c>
    </row>
    <row r="433">
      <c r="K433">
        <f>IF($B433="",0,IF(Suche!$B$4="",1,IF(ISNUMBER(SEARCH(Suche!$B$4,$B433&amp;" "&amp;$C433&amp;" "&amp;$G433)),1,0)))</f>
        <v/>
      </c>
      <c r="L433">
        <f>IF($K433=0,"",SUM($K$5:$K433))</f>
        <v/>
      </c>
    </row>
    <row r="434">
      <c r="K434">
        <f>IF($B434="",0,IF(Suche!$B$4="",1,IF(ISNUMBER(SEARCH(Suche!$B$4,$B434&amp;" "&amp;$C434&amp;" "&amp;$G434)),1,0)))</f>
        <v/>
      </c>
      <c r="L434">
        <f>IF($K434=0,"",SUM($K$5:$K434))</f>
        <v/>
      </c>
    </row>
    <row r="435">
      <c r="K435">
        <f>IF($B435="",0,IF(Suche!$B$4="",1,IF(ISNUMBER(SEARCH(Suche!$B$4,$B435&amp;" "&amp;$C435&amp;" "&amp;$G435)),1,0)))</f>
        <v/>
      </c>
      <c r="L435">
        <f>IF($K435=0,"",SUM($K$5:$K435))</f>
        <v/>
      </c>
    </row>
    <row r="436">
      <c r="K436">
        <f>IF($B436="",0,IF(Suche!$B$4="",1,IF(ISNUMBER(SEARCH(Suche!$B$4,$B436&amp;" "&amp;$C436&amp;" "&amp;$G436)),1,0)))</f>
        <v/>
      </c>
      <c r="L436">
        <f>IF($K436=0,"",SUM($K$5:$K436))</f>
        <v/>
      </c>
    </row>
    <row r="437">
      <c r="K437">
        <f>IF($B437="",0,IF(Suche!$B$4="",1,IF(ISNUMBER(SEARCH(Suche!$B$4,$B437&amp;" "&amp;$C437&amp;" "&amp;$G437)),1,0)))</f>
        <v/>
      </c>
      <c r="L437">
        <f>IF($K437=0,"",SUM($K$5:$K437))</f>
        <v/>
      </c>
    </row>
    <row r="438">
      <c r="K438">
        <f>IF($B438="",0,IF(Suche!$B$4="",1,IF(ISNUMBER(SEARCH(Suche!$B$4,$B438&amp;" "&amp;$C438&amp;" "&amp;$G438)),1,0)))</f>
        <v/>
      </c>
      <c r="L438">
        <f>IF($K438=0,"",SUM($K$5:$K438))</f>
        <v/>
      </c>
    </row>
    <row r="439">
      <c r="K439">
        <f>IF($B439="",0,IF(Suche!$B$4="",1,IF(ISNUMBER(SEARCH(Suche!$B$4,$B439&amp;" "&amp;$C439&amp;" "&amp;$G439)),1,0)))</f>
        <v/>
      </c>
      <c r="L439">
        <f>IF($K439=0,"",SUM($K$5:$K439))</f>
        <v/>
      </c>
    </row>
    <row r="440">
      <c r="K440">
        <f>IF($B440="",0,IF(Suche!$B$4="",1,IF(ISNUMBER(SEARCH(Suche!$B$4,$B440&amp;" "&amp;$C440&amp;" "&amp;$G440)),1,0)))</f>
        <v/>
      </c>
      <c r="L440">
        <f>IF($K440=0,"",SUM($K$5:$K440))</f>
        <v/>
      </c>
    </row>
    <row r="441">
      <c r="K441">
        <f>IF($B441="",0,IF(Suche!$B$4="",1,IF(ISNUMBER(SEARCH(Suche!$B$4,$B441&amp;" "&amp;$C441&amp;" "&amp;$G441)),1,0)))</f>
        <v/>
      </c>
      <c r="L441">
        <f>IF($K441=0,"",SUM($K$5:$K441))</f>
        <v/>
      </c>
    </row>
    <row r="442">
      <c r="K442">
        <f>IF($B442="",0,IF(Suche!$B$4="",1,IF(ISNUMBER(SEARCH(Suche!$B$4,$B442&amp;" "&amp;$C442&amp;" "&amp;$G442)),1,0)))</f>
        <v/>
      </c>
      <c r="L442">
        <f>IF($K442=0,"",SUM($K$5:$K442))</f>
        <v/>
      </c>
    </row>
    <row r="443">
      <c r="K443">
        <f>IF($B443="",0,IF(Suche!$B$4="",1,IF(ISNUMBER(SEARCH(Suche!$B$4,$B443&amp;" "&amp;$C443&amp;" "&amp;$G443)),1,0)))</f>
        <v/>
      </c>
      <c r="L443">
        <f>IF($K443=0,"",SUM($K$5:$K443))</f>
        <v/>
      </c>
    </row>
    <row r="444">
      <c r="K444">
        <f>IF($B444="",0,IF(Suche!$B$4="",1,IF(ISNUMBER(SEARCH(Suche!$B$4,$B444&amp;" "&amp;$C444&amp;" "&amp;$G444)),1,0)))</f>
        <v/>
      </c>
      <c r="L444">
        <f>IF($K444=0,"",SUM($K$5:$K444))</f>
        <v/>
      </c>
    </row>
    <row r="445">
      <c r="K445">
        <f>IF($B445="",0,IF(Suche!$B$4="",1,IF(ISNUMBER(SEARCH(Suche!$B$4,$B445&amp;" "&amp;$C445&amp;" "&amp;$G445)),1,0)))</f>
        <v/>
      </c>
      <c r="L445">
        <f>IF($K445=0,"",SUM($K$5:$K445))</f>
        <v/>
      </c>
    </row>
    <row r="446">
      <c r="K446">
        <f>IF($B446="",0,IF(Suche!$B$4="",1,IF(ISNUMBER(SEARCH(Suche!$B$4,$B446&amp;" "&amp;$C446&amp;" "&amp;$G446)),1,0)))</f>
        <v/>
      </c>
      <c r="L446">
        <f>IF($K446=0,"",SUM($K$5:$K446))</f>
        <v/>
      </c>
    </row>
    <row r="447">
      <c r="K447">
        <f>IF($B447="",0,IF(Suche!$B$4="",1,IF(ISNUMBER(SEARCH(Suche!$B$4,$B447&amp;" "&amp;$C447&amp;" "&amp;$G447)),1,0)))</f>
        <v/>
      </c>
      <c r="L447">
        <f>IF($K447=0,"",SUM($K$5:$K447))</f>
        <v/>
      </c>
    </row>
    <row r="448">
      <c r="K448">
        <f>IF($B448="",0,IF(Suche!$B$4="",1,IF(ISNUMBER(SEARCH(Suche!$B$4,$B448&amp;" "&amp;$C448&amp;" "&amp;$G448)),1,0)))</f>
        <v/>
      </c>
      <c r="L448">
        <f>IF($K448=0,"",SUM($K$5:$K448))</f>
        <v/>
      </c>
    </row>
    <row r="449">
      <c r="K449">
        <f>IF($B449="",0,IF(Suche!$B$4="",1,IF(ISNUMBER(SEARCH(Suche!$B$4,$B449&amp;" "&amp;$C449&amp;" "&amp;$G449)),1,0)))</f>
        <v/>
      </c>
      <c r="L449">
        <f>IF($K449=0,"",SUM($K$5:$K449))</f>
        <v/>
      </c>
    </row>
    <row r="450">
      <c r="K450">
        <f>IF($B450="",0,IF(Suche!$B$4="",1,IF(ISNUMBER(SEARCH(Suche!$B$4,$B450&amp;" "&amp;$C450&amp;" "&amp;$G450)),1,0)))</f>
        <v/>
      </c>
      <c r="L450">
        <f>IF($K450=0,"",SUM($K$5:$K450))</f>
        <v/>
      </c>
    </row>
    <row r="451">
      <c r="K451">
        <f>IF($B451="",0,IF(Suche!$B$4="",1,IF(ISNUMBER(SEARCH(Suche!$B$4,$B451&amp;" "&amp;$C451&amp;" "&amp;$G451)),1,0)))</f>
        <v/>
      </c>
      <c r="L451">
        <f>IF($K451=0,"",SUM($K$5:$K451))</f>
        <v/>
      </c>
    </row>
    <row r="452">
      <c r="K452">
        <f>IF($B452="",0,IF(Suche!$B$4="",1,IF(ISNUMBER(SEARCH(Suche!$B$4,$B452&amp;" "&amp;$C452&amp;" "&amp;$G452)),1,0)))</f>
        <v/>
      </c>
      <c r="L452">
        <f>IF($K452=0,"",SUM($K$5:$K452))</f>
        <v/>
      </c>
    </row>
    <row r="453">
      <c r="K453">
        <f>IF($B453="",0,IF(Suche!$B$4="",1,IF(ISNUMBER(SEARCH(Suche!$B$4,$B453&amp;" "&amp;$C453&amp;" "&amp;$G453)),1,0)))</f>
        <v/>
      </c>
      <c r="L453">
        <f>IF($K453=0,"",SUM($K$5:$K453))</f>
        <v/>
      </c>
    </row>
    <row r="454">
      <c r="K454">
        <f>IF($B454="",0,IF(Suche!$B$4="",1,IF(ISNUMBER(SEARCH(Suche!$B$4,$B454&amp;" "&amp;$C454&amp;" "&amp;$G454)),1,0)))</f>
        <v/>
      </c>
      <c r="L454">
        <f>IF($K454=0,"",SUM($K$5:$K454))</f>
        <v/>
      </c>
    </row>
    <row r="455">
      <c r="K455">
        <f>IF($B455="",0,IF(Suche!$B$4="",1,IF(ISNUMBER(SEARCH(Suche!$B$4,$B455&amp;" "&amp;$C455&amp;" "&amp;$G455)),1,0)))</f>
        <v/>
      </c>
      <c r="L455">
        <f>IF($K455=0,"",SUM($K$5:$K455))</f>
        <v/>
      </c>
    </row>
    <row r="456">
      <c r="K456">
        <f>IF($B456="",0,IF(Suche!$B$4="",1,IF(ISNUMBER(SEARCH(Suche!$B$4,$B456&amp;" "&amp;$C456&amp;" "&amp;$G456)),1,0)))</f>
        <v/>
      </c>
      <c r="L456">
        <f>IF($K456=0,"",SUM($K$5:$K456))</f>
        <v/>
      </c>
    </row>
    <row r="457">
      <c r="K457">
        <f>IF($B457="",0,IF(Suche!$B$4="",1,IF(ISNUMBER(SEARCH(Suche!$B$4,$B457&amp;" "&amp;$C457&amp;" "&amp;$G457)),1,0)))</f>
        <v/>
      </c>
      <c r="L457">
        <f>IF($K457=0,"",SUM($K$5:$K457))</f>
        <v/>
      </c>
    </row>
    <row r="458">
      <c r="K458">
        <f>IF($B458="",0,IF(Suche!$B$4="",1,IF(ISNUMBER(SEARCH(Suche!$B$4,$B458&amp;" "&amp;$C458&amp;" "&amp;$G458)),1,0)))</f>
        <v/>
      </c>
      <c r="L458">
        <f>IF($K458=0,"",SUM($K$5:$K458))</f>
        <v/>
      </c>
    </row>
    <row r="459">
      <c r="K459">
        <f>IF($B459="",0,IF(Suche!$B$4="",1,IF(ISNUMBER(SEARCH(Suche!$B$4,$B459&amp;" "&amp;$C459&amp;" "&amp;$G459)),1,0)))</f>
        <v/>
      </c>
      <c r="L459">
        <f>IF($K459=0,"",SUM($K$5:$K459))</f>
        <v/>
      </c>
    </row>
    <row r="460">
      <c r="K460">
        <f>IF($B460="",0,IF(Suche!$B$4="",1,IF(ISNUMBER(SEARCH(Suche!$B$4,$B460&amp;" "&amp;$C460&amp;" "&amp;$G460)),1,0)))</f>
        <v/>
      </c>
      <c r="L460">
        <f>IF($K460=0,"",SUM($K$5:$K460))</f>
        <v/>
      </c>
    </row>
    <row r="461">
      <c r="K461">
        <f>IF($B461="",0,IF(Suche!$B$4="",1,IF(ISNUMBER(SEARCH(Suche!$B$4,$B461&amp;" "&amp;$C461&amp;" "&amp;$G461)),1,0)))</f>
        <v/>
      </c>
      <c r="L461">
        <f>IF($K461=0,"",SUM($K$5:$K461))</f>
        <v/>
      </c>
    </row>
    <row r="462">
      <c r="K462">
        <f>IF($B462="",0,IF(Suche!$B$4="",1,IF(ISNUMBER(SEARCH(Suche!$B$4,$B462&amp;" "&amp;$C462&amp;" "&amp;$G462)),1,0)))</f>
        <v/>
      </c>
      <c r="L462">
        <f>IF($K462=0,"",SUM($K$5:$K462))</f>
        <v/>
      </c>
    </row>
    <row r="463">
      <c r="K463">
        <f>IF($B463="",0,IF(Suche!$B$4="",1,IF(ISNUMBER(SEARCH(Suche!$B$4,$B463&amp;" "&amp;$C463&amp;" "&amp;$G463)),1,0)))</f>
        <v/>
      </c>
      <c r="L463">
        <f>IF($K463=0,"",SUM($K$5:$K463))</f>
        <v/>
      </c>
    </row>
    <row r="464">
      <c r="K464">
        <f>IF($B464="",0,IF(Suche!$B$4="",1,IF(ISNUMBER(SEARCH(Suche!$B$4,$B464&amp;" "&amp;$C464&amp;" "&amp;$G464)),1,0)))</f>
        <v/>
      </c>
      <c r="L464">
        <f>IF($K464=0,"",SUM($K$5:$K464))</f>
        <v/>
      </c>
    </row>
    <row r="465">
      <c r="K465">
        <f>IF($B465="",0,IF(Suche!$B$4="",1,IF(ISNUMBER(SEARCH(Suche!$B$4,$B465&amp;" "&amp;$C465&amp;" "&amp;$G465)),1,0)))</f>
        <v/>
      </c>
      <c r="L465">
        <f>IF($K465=0,"",SUM($K$5:$K465))</f>
        <v/>
      </c>
    </row>
    <row r="466">
      <c r="K466">
        <f>IF($B466="",0,IF(Suche!$B$4="",1,IF(ISNUMBER(SEARCH(Suche!$B$4,$B466&amp;" "&amp;$C466&amp;" "&amp;$G466)),1,0)))</f>
        <v/>
      </c>
      <c r="L466">
        <f>IF($K466=0,"",SUM($K$5:$K466))</f>
        <v/>
      </c>
    </row>
    <row r="467">
      <c r="K467">
        <f>IF($B467="",0,IF(Suche!$B$4="",1,IF(ISNUMBER(SEARCH(Suche!$B$4,$B467&amp;" "&amp;$C467&amp;" "&amp;$G467)),1,0)))</f>
        <v/>
      </c>
      <c r="L467">
        <f>IF($K467=0,"",SUM($K$5:$K467))</f>
        <v/>
      </c>
    </row>
    <row r="468">
      <c r="K468">
        <f>IF($B468="",0,IF(Suche!$B$4="",1,IF(ISNUMBER(SEARCH(Suche!$B$4,$B468&amp;" "&amp;$C468&amp;" "&amp;$G468)),1,0)))</f>
        <v/>
      </c>
      <c r="L468">
        <f>IF($K468=0,"",SUM($K$5:$K468))</f>
        <v/>
      </c>
    </row>
    <row r="469">
      <c r="K469">
        <f>IF($B469="",0,IF(Suche!$B$4="",1,IF(ISNUMBER(SEARCH(Suche!$B$4,$B469&amp;" "&amp;$C469&amp;" "&amp;$G469)),1,0)))</f>
        <v/>
      </c>
      <c r="L469">
        <f>IF($K469=0,"",SUM($K$5:$K469))</f>
        <v/>
      </c>
    </row>
    <row r="470">
      <c r="K470">
        <f>IF($B470="",0,IF(Suche!$B$4="",1,IF(ISNUMBER(SEARCH(Suche!$B$4,$B470&amp;" "&amp;$C470&amp;" "&amp;$G470)),1,0)))</f>
        <v/>
      </c>
      <c r="L470">
        <f>IF($K470=0,"",SUM($K$5:$K470))</f>
        <v/>
      </c>
    </row>
    <row r="471">
      <c r="K471">
        <f>IF($B471="",0,IF(Suche!$B$4="",1,IF(ISNUMBER(SEARCH(Suche!$B$4,$B471&amp;" "&amp;$C471&amp;" "&amp;$G471)),1,0)))</f>
        <v/>
      </c>
      <c r="L471">
        <f>IF($K471=0,"",SUM($K$5:$K471))</f>
        <v/>
      </c>
    </row>
    <row r="472">
      <c r="K472">
        <f>IF($B472="",0,IF(Suche!$B$4="",1,IF(ISNUMBER(SEARCH(Suche!$B$4,$B472&amp;" "&amp;$C472&amp;" "&amp;$G472)),1,0)))</f>
        <v/>
      </c>
      <c r="L472">
        <f>IF($K472=0,"",SUM($K$5:$K472))</f>
        <v/>
      </c>
    </row>
    <row r="473">
      <c r="K473">
        <f>IF($B473="",0,IF(Suche!$B$4="",1,IF(ISNUMBER(SEARCH(Suche!$B$4,$B473&amp;" "&amp;$C473&amp;" "&amp;$G473)),1,0)))</f>
        <v/>
      </c>
      <c r="L473">
        <f>IF($K473=0,"",SUM($K$5:$K473))</f>
        <v/>
      </c>
    </row>
    <row r="474">
      <c r="K474">
        <f>IF($B474="",0,IF(Suche!$B$4="",1,IF(ISNUMBER(SEARCH(Suche!$B$4,$B474&amp;" "&amp;$C474&amp;" "&amp;$G474)),1,0)))</f>
        <v/>
      </c>
      <c r="L474">
        <f>IF($K474=0,"",SUM($K$5:$K474))</f>
        <v/>
      </c>
    </row>
    <row r="475">
      <c r="K475">
        <f>IF($B475="",0,IF(Suche!$B$4="",1,IF(ISNUMBER(SEARCH(Suche!$B$4,$B475&amp;" "&amp;$C475&amp;" "&amp;$G475)),1,0)))</f>
        <v/>
      </c>
      <c r="L475">
        <f>IF($K475=0,"",SUM($K$5:$K475))</f>
        <v/>
      </c>
    </row>
    <row r="476">
      <c r="K476">
        <f>IF($B476="",0,IF(Suche!$B$4="",1,IF(ISNUMBER(SEARCH(Suche!$B$4,$B476&amp;" "&amp;$C476&amp;" "&amp;$G476)),1,0)))</f>
        <v/>
      </c>
      <c r="L476">
        <f>IF($K476=0,"",SUM($K$5:$K476))</f>
        <v/>
      </c>
    </row>
    <row r="477">
      <c r="K477">
        <f>IF($B477="",0,IF(Suche!$B$4="",1,IF(ISNUMBER(SEARCH(Suche!$B$4,$B477&amp;" "&amp;$C477&amp;" "&amp;$G477)),1,0)))</f>
        <v/>
      </c>
      <c r="L477">
        <f>IF($K477=0,"",SUM($K$5:$K477))</f>
        <v/>
      </c>
    </row>
    <row r="478">
      <c r="K478">
        <f>IF($B478="",0,IF(Suche!$B$4="",1,IF(ISNUMBER(SEARCH(Suche!$B$4,$B478&amp;" "&amp;$C478&amp;" "&amp;$G478)),1,0)))</f>
        <v/>
      </c>
      <c r="L478">
        <f>IF($K478=0,"",SUM($K$5:$K478))</f>
        <v/>
      </c>
    </row>
    <row r="479">
      <c r="K479">
        <f>IF($B479="",0,IF(Suche!$B$4="",1,IF(ISNUMBER(SEARCH(Suche!$B$4,$B479&amp;" "&amp;$C479&amp;" "&amp;$G479)),1,0)))</f>
        <v/>
      </c>
      <c r="L479">
        <f>IF($K479=0,"",SUM($K$5:$K479))</f>
        <v/>
      </c>
    </row>
    <row r="480">
      <c r="K480">
        <f>IF($B480="",0,IF(Suche!$B$4="",1,IF(ISNUMBER(SEARCH(Suche!$B$4,$B480&amp;" "&amp;$C480&amp;" "&amp;$G480)),1,0)))</f>
        <v/>
      </c>
      <c r="L480">
        <f>IF($K480=0,"",SUM($K$5:$K480))</f>
        <v/>
      </c>
    </row>
    <row r="481">
      <c r="K481">
        <f>IF($B481="",0,IF(Suche!$B$4="",1,IF(ISNUMBER(SEARCH(Suche!$B$4,$B481&amp;" "&amp;$C481&amp;" "&amp;$G481)),1,0)))</f>
        <v/>
      </c>
      <c r="L481">
        <f>IF($K481=0,"",SUM($K$5:$K481))</f>
        <v/>
      </c>
    </row>
    <row r="482">
      <c r="K482">
        <f>IF($B482="",0,IF(Suche!$B$4="",1,IF(ISNUMBER(SEARCH(Suche!$B$4,$B482&amp;" "&amp;$C482&amp;" "&amp;$G482)),1,0)))</f>
        <v/>
      </c>
      <c r="L482">
        <f>IF($K482=0,"",SUM($K$5:$K482))</f>
        <v/>
      </c>
    </row>
    <row r="483">
      <c r="K483">
        <f>IF($B483="",0,IF(Suche!$B$4="",1,IF(ISNUMBER(SEARCH(Suche!$B$4,$B483&amp;" "&amp;$C483&amp;" "&amp;$G483)),1,0)))</f>
        <v/>
      </c>
      <c r="L483">
        <f>IF($K483=0,"",SUM($K$5:$K483))</f>
        <v/>
      </c>
    </row>
    <row r="484">
      <c r="K484">
        <f>IF($B484="",0,IF(Suche!$B$4="",1,IF(ISNUMBER(SEARCH(Suche!$B$4,$B484&amp;" "&amp;$C484&amp;" "&amp;$G484)),1,0)))</f>
        <v/>
      </c>
      <c r="L484">
        <f>IF($K484=0,"",SUM($K$5:$K484))</f>
        <v/>
      </c>
    </row>
    <row r="485">
      <c r="K485">
        <f>IF($B485="",0,IF(Suche!$B$4="",1,IF(ISNUMBER(SEARCH(Suche!$B$4,$B485&amp;" "&amp;$C485&amp;" "&amp;$G485)),1,0)))</f>
        <v/>
      </c>
      <c r="L485">
        <f>IF($K485=0,"",SUM($K$5:$K485))</f>
        <v/>
      </c>
    </row>
    <row r="486">
      <c r="K486">
        <f>IF($B486="",0,IF(Suche!$B$4="",1,IF(ISNUMBER(SEARCH(Suche!$B$4,$B486&amp;" "&amp;$C486&amp;" "&amp;$G486)),1,0)))</f>
        <v/>
      </c>
      <c r="L486">
        <f>IF($K486=0,"",SUM($K$5:$K486))</f>
        <v/>
      </c>
    </row>
    <row r="487">
      <c r="K487">
        <f>IF($B487="",0,IF(Suche!$B$4="",1,IF(ISNUMBER(SEARCH(Suche!$B$4,$B487&amp;" "&amp;$C487&amp;" "&amp;$G487)),1,0)))</f>
        <v/>
      </c>
      <c r="L487">
        <f>IF($K487=0,"",SUM($K$5:$K487))</f>
        <v/>
      </c>
    </row>
    <row r="488">
      <c r="K488">
        <f>IF($B488="",0,IF(Suche!$B$4="",1,IF(ISNUMBER(SEARCH(Suche!$B$4,$B488&amp;" "&amp;$C488&amp;" "&amp;$G488)),1,0)))</f>
        <v/>
      </c>
      <c r="L488">
        <f>IF($K488=0,"",SUM($K$5:$K488))</f>
        <v/>
      </c>
    </row>
    <row r="489">
      <c r="K489">
        <f>IF($B489="",0,IF(Suche!$B$4="",1,IF(ISNUMBER(SEARCH(Suche!$B$4,$B489&amp;" "&amp;$C489&amp;" "&amp;$G489)),1,0)))</f>
        <v/>
      </c>
      <c r="L489">
        <f>IF($K489=0,"",SUM($K$5:$K489))</f>
        <v/>
      </c>
    </row>
    <row r="490">
      <c r="K490">
        <f>IF($B490="",0,IF(Suche!$B$4="",1,IF(ISNUMBER(SEARCH(Suche!$B$4,$B490&amp;" "&amp;$C490&amp;" "&amp;$G490)),1,0)))</f>
        <v/>
      </c>
      <c r="L490">
        <f>IF($K490=0,"",SUM($K$5:$K490))</f>
        <v/>
      </c>
    </row>
    <row r="491">
      <c r="K491">
        <f>IF($B491="",0,IF(Suche!$B$4="",1,IF(ISNUMBER(SEARCH(Suche!$B$4,$B491&amp;" "&amp;$C491&amp;" "&amp;$G491)),1,0)))</f>
        <v/>
      </c>
      <c r="L491">
        <f>IF($K491=0,"",SUM($K$5:$K491))</f>
        <v/>
      </c>
    </row>
    <row r="492">
      <c r="K492">
        <f>IF($B492="",0,IF(Suche!$B$4="",1,IF(ISNUMBER(SEARCH(Suche!$B$4,$B492&amp;" "&amp;$C492&amp;" "&amp;$G492)),1,0)))</f>
        <v/>
      </c>
      <c r="L492">
        <f>IF($K492=0,"",SUM($K$5:$K492))</f>
        <v/>
      </c>
    </row>
    <row r="493">
      <c r="K493">
        <f>IF($B493="",0,IF(Suche!$B$4="",1,IF(ISNUMBER(SEARCH(Suche!$B$4,$B493&amp;" "&amp;$C493&amp;" "&amp;$G493)),1,0)))</f>
        <v/>
      </c>
      <c r="L493">
        <f>IF($K493=0,"",SUM($K$5:$K493))</f>
        <v/>
      </c>
    </row>
    <row r="494">
      <c r="K494">
        <f>IF($B494="",0,IF(Suche!$B$4="",1,IF(ISNUMBER(SEARCH(Suche!$B$4,$B494&amp;" "&amp;$C494&amp;" "&amp;$G494)),1,0)))</f>
        <v/>
      </c>
      <c r="L494">
        <f>IF($K494=0,"",SUM($K$5:$K494))</f>
        <v/>
      </c>
    </row>
    <row r="495">
      <c r="K495">
        <f>IF($B495="",0,IF(Suche!$B$4="",1,IF(ISNUMBER(SEARCH(Suche!$B$4,$B495&amp;" "&amp;$C495&amp;" "&amp;$G495)),1,0)))</f>
        <v/>
      </c>
      <c r="L495">
        <f>IF($K495=0,"",SUM($K$5:$K495))</f>
        <v/>
      </c>
    </row>
    <row r="496">
      <c r="K496">
        <f>IF($B496="",0,IF(Suche!$B$4="",1,IF(ISNUMBER(SEARCH(Suche!$B$4,$B496&amp;" "&amp;$C496&amp;" "&amp;$G496)),1,0)))</f>
        <v/>
      </c>
      <c r="L496">
        <f>IF($K496=0,"",SUM($K$5:$K496))</f>
        <v/>
      </c>
    </row>
    <row r="497">
      <c r="K497">
        <f>IF($B497="",0,IF(Suche!$B$4="",1,IF(ISNUMBER(SEARCH(Suche!$B$4,$B497&amp;" "&amp;$C497&amp;" "&amp;$G497)),1,0)))</f>
        <v/>
      </c>
      <c r="L497">
        <f>IF($K497=0,"",SUM($K$5:$K497))</f>
        <v/>
      </c>
    </row>
    <row r="498">
      <c r="K498">
        <f>IF($B498="",0,IF(Suche!$B$4="",1,IF(ISNUMBER(SEARCH(Suche!$B$4,$B498&amp;" "&amp;$C498&amp;" "&amp;$G498)),1,0)))</f>
        <v/>
      </c>
      <c r="L498">
        <f>IF($K498=0,"",SUM($K$5:$K498))</f>
        <v/>
      </c>
    </row>
    <row r="499">
      <c r="K499">
        <f>IF($B499="",0,IF(Suche!$B$4="",1,IF(ISNUMBER(SEARCH(Suche!$B$4,$B499&amp;" "&amp;$C499&amp;" "&amp;$G499)),1,0)))</f>
        <v/>
      </c>
      <c r="L499">
        <f>IF($K499=0,"",SUM($K$5:$K499))</f>
        <v/>
      </c>
    </row>
    <row r="500">
      <c r="K500">
        <f>IF($B500="",0,IF(Suche!$B$4="",1,IF(ISNUMBER(SEARCH(Suche!$B$4,$B500&amp;" "&amp;$C500&amp;" "&amp;$G500)),1,0)))</f>
        <v/>
      </c>
      <c r="L500">
        <f>IF($K500=0,"",SUM($K$5:$K500))</f>
        <v/>
      </c>
    </row>
  </sheetData>
  <autoFilter ref="A4:I351"/>
  <mergeCells count="3">
    <mergeCell ref="A1:I1"/>
    <mergeCell ref="A3:I3"/>
    <mergeCell ref="A2:I2"/>
  </mergeCells>
  <dataValidations count="4">
    <dataValidation sqref="E5:E500" showDropDown="0" showInputMessage="0" showErrorMessage="0" allowBlank="1" type="list">
      <formula1>Einheiten</formula1>
    </dataValidation>
    <dataValidation sqref="C5:C500" showDropDown="0" showInputMessage="0" showErrorMessage="0" allowBlank="1" type="list">
      <formula1>Warengruppen</formula1>
    </dataValidation>
    <dataValidation sqref="G5:G500" showDropDown="0" showInputMessage="0" showErrorMessage="0" allowBlank="1" type="list">
      <formula1>Lieferanten</formula1>
    </dataValidation>
    <dataValidation sqref="H5:H500" showDropDown="0" showInputMessage="0" showErrorMessage="0" allowBlank="1" type="list">
      <formula1>Lagerorte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Hauptmagazin</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Hauptmagazin</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Panorama</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Panorama</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Kachelofen</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Kachelofen</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Gugelhupf</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Gugelhupf</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Lucia</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Lucia</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8"/>
  <sheetViews>
    <sheetView workbookViewId="0">
      <pane ySplit="8" topLeftCell="A9" activePane="bottomLeft" state="frozen"/>
      <selection pane="bottomLeft" activeCell="A1" sqref="A1"/>
    </sheetView>
  </sheetViews>
  <sheetFormatPr baseColWidth="8" defaultRowHeight="15"/>
  <cols>
    <col width="46" customWidth="1" min="1" max="1"/>
    <col width="28" customWidth="1" min="2" max="2"/>
    <col width="22" customWidth="1" min="3" max="3"/>
    <col width="12" customWidth="1" min="4" max="4"/>
    <col width="26" customWidth="1" min="5" max="5"/>
    <col width="17" customWidth="1" min="6" max="6"/>
    <col width="30" customWidth="1" min="7" max="7"/>
    <col width="26" customWidth="1" min="8" max="8"/>
    <col width="2" customWidth="1" min="9" max="9"/>
  </cols>
  <sheetData>
    <row r="1" ht="30" customHeight="1">
      <c r="A1" s="1" t="inlineStr">
        <is>
          <t>Inventurliste – Bar</t>
        </is>
      </c>
      <c r="B1" s="2" t="n"/>
      <c r="C1" s="2" t="n"/>
      <c r="D1" s="2" t="n"/>
      <c r="E1" s="2" t="n"/>
      <c r="F1" s="2" t="n"/>
      <c r="G1" s="2" t="n"/>
      <c r="H1" s="2" t="n"/>
    </row>
    <row r="2" ht="20" customHeight="1">
      <c r="A2" s="3" t="inlineStr">
        <is>
          <t>Vier Jahreszeiten Schluchsee</t>
        </is>
      </c>
      <c r="B2" s="4" t="n"/>
      <c r="C2" s="4" t="n"/>
      <c r="D2" s="4" t="n"/>
      <c r="E2" s="4" t="n"/>
      <c r="F2" s="4" t="n"/>
      <c r="G2" s="4" t="n"/>
      <c r="H2" s="4" t="n"/>
    </row>
    <row r="4">
      <c r="A4" s="18" t="inlineStr">
        <is>
          <t>Standort:</t>
        </is>
      </c>
      <c r="B4" s="19" t="inlineStr">
        <is>
          <t>Bar</t>
        </is>
      </c>
      <c r="C4" s="20" t="n"/>
      <c r="D4" s="20" t="n"/>
    </row>
    <row r="5">
      <c r="A5" s="18" t="inlineStr">
        <is>
          <t>Datum:</t>
        </is>
      </c>
      <c r="B5" s="19" t="inlineStr">
        <is>
          <t>30.09.2026</t>
        </is>
      </c>
      <c r="C5" s="20" t="n"/>
      <c r="D5" s="20" t="n"/>
    </row>
    <row r="6">
      <c r="A6" s="18" t="inlineStr">
        <is>
          <t>Aufgenommen von:</t>
        </is>
      </c>
      <c r="B6" s="19" t="inlineStr"/>
      <c r="C6" s="20" t="n"/>
      <c r="D6" s="20" t="n"/>
    </row>
    <row r="7" ht="18" customHeight="1">
      <c r="A7" s="10" t="inlineStr">
        <is>
          <t>Nur die Spalten „Artikel“ und „Bestand (gezählt)“ ausfüllen – in „Artikel“ einfach lostippen (z. B. „Coca“) und aus der Liste wählen. Alles andere kommt automatisch, lässt sich aber überschreiben.</t>
        </is>
      </c>
    </row>
    <row r="8" ht="26" customHeight="1">
      <c r="A8" s="11" t="inlineStr">
        <is>
          <t>Artikel</t>
        </is>
      </c>
      <c r="B8" s="11" t="inlineStr">
        <is>
          <t>Warengruppe</t>
        </is>
      </c>
      <c r="C8" s="11" t="inlineStr">
        <is>
          <t>Gebinde / Größe</t>
        </is>
      </c>
      <c r="D8" s="11" t="inlineStr">
        <is>
          <t>Einheit</t>
        </is>
      </c>
      <c r="E8" s="11" t="inlineStr">
        <is>
          <t>Lieferant</t>
        </is>
      </c>
      <c r="F8" s="11" t="inlineStr">
        <is>
          <t>Bestand (gezählt)</t>
        </is>
      </c>
      <c r="G8" s="11" t="inlineStr">
        <is>
          <t>Status</t>
        </is>
      </c>
      <c r="H8" s="11" t="inlineStr">
        <is>
          <t>Bemerkung</t>
        </is>
      </c>
    </row>
    <row r="9">
      <c r="A9" s="19" t="n"/>
      <c r="B9" s="21">
        <f>IF($A9="","",IFERROR(VLOOKUP($A9,Artikelstamm!$B:$I,2,FALSE),""))</f>
        <v/>
      </c>
      <c r="C9" s="21">
        <f>IF($A9="","",IFERROR(VLOOKUP($A9,Artikelstamm!$B:$I,3,FALSE),""))</f>
        <v/>
      </c>
      <c r="D9" s="22">
        <f>IF($A9="","",IFERROR(VLOOKUP($A9,Artikelstamm!$B:$I,4,FALSE),""))</f>
        <v/>
      </c>
      <c r="E9" s="21">
        <f>IF($A9="","",IFERROR(VLOOKUP($A9,Artikelstamm!$B:$I,6,FALSE),""))</f>
        <v/>
      </c>
      <c r="F9" s="23" t="n"/>
      <c r="G9" s="21">
        <f>IF($A9="","",IF(COUNTIF(Artikelstamm!$B:$B,$A9)=0,"NEU – in Artikelstamm aufnehmen","OK"))</f>
        <v/>
      </c>
      <c r="H9" s="19" t="n"/>
    </row>
    <row r="10">
      <c r="A10" s="19" t="n"/>
      <c r="B10" s="21">
        <f>IF($A10="","",IFERROR(VLOOKUP($A10,Artikelstamm!$B:$I,2,FALSE),""))</f>
        <v/>
      </c>
      <c r="C10" s="21">
        <f>IF($A10="","",IFERROR(VLOOKUP($A10,Artikelstamm!$B:$I,3,FALSE),""))</f>
        <v/>
      </c>
      <c r="D10" s="22">
        <f>IF($A10="","",IFERROR(VLOOKUP($A10,Artikelstamm!$B:$I,4,FALSE),""))</f>
        <v/>
      </c>
      <c r="E10" s="21">
        <f>IF($A10="","",IFERROR(VLOOKUP($A10,Artikelstamm!$B:$I,6,FALSE),""))</f>
        <v/>
      </c>
      <c r="F10" s="23" t="n"/>
      <c r="G10" s="21">
        <f>IF($A10="","",IF(COUNTIF(Artikelstamm!$B:$B,$A10)=0,"NEU – in Artikelstamm aufnehmen","OK"))</f>
        <v/>
      </c>
      <c r="H10" s="19" t="n"/>
    </row>
    <row r="11">
      <c r="A11" s="19" t="n"/>
      <c r="B11" s="21">
        <f>IF($A11="","",IFERROR(VLOOKUP($A11,Artikelstamm!$B:$I,2,FALSE),""))</f>
        <v/>
      </c>
      <c r="C11" s="21">
        <f>IF($A11="","",IFERROR(VLOOKUP($A11,Artikelstamm!$B:$I,3,FALSE),""))</f>
        <v/>
      </c>
      <c r="D11" s="22">
        <f>IF($A11="","",IFERROR(VLOOKUP($A11,Artikelstamm!$B:$I,4,FALSE),""))</f>
        <v/>
      </c>
      <c r="E11" s="21">
        <f>IF($A11="","",IFERROR(VLOOKUP($A11,Artikelstamm!$B:$I,6,FALSE),""))</f>
        <v/>
      </c>
      <c r="F11" s="23" t="n"/>
      <c r="G11" s="21">
        <f>IF($A11="","",IF(COUNTIF(Artikelstamm!$B:$B,$A11)=0,"NEU – in Artikelstamm aufnehmen","OK"))</f>
        <v/>
      </c>
      <c r="H11" s="19" t="n"/>
    </row>
    <row r="12">
      <c r="A12" s="19" t="n"/>
      <c r="B12" s="21">
        <f>IF($A12="","",IFERROR(VLOOKUP($A12,Artikelstamm!$B:$I,2,FALSE),""))</f>
        <v/>
      </c>
      <c r="C12" s="21">
        <f>IF($A12="","",IFERROR(VLOOKUP($A12,Artikelstamm!$B:$I,3,FALSE),""))</f>
        <v/>
      </c>
      <c r="D12" s="22">
        <f>IF($A12="","",IFERROR(VLOOKUP($A12,Artikelstamm!$B:$I,4,FALSE),""))</f>
        <v/>
      </c>
      <c r="E12" s="21">
        <f>IF($A12="","",IFERROR(VLOOKUP($A12,Artikelstamm!$B:$I,6,FALSE),""))</f>
        <v/>
      </c>
      <c r="F12" s="23" t="n"/>
      <c r="G12" s="21">
        <f>IF($A12="","",IF(COUNTIF(Artikelstamm!$B:$B,$A12)=0,"NEU – in Artikelstamm aufnehmen","OK"))</f>
        <v/>
      </c>
      <c r="H12" s="19" t="n"/>
    </row>
    <row r="13">
      <c r="A13" s="19" t="n"/>
      <c r="B13" s="21">
        <f>IF($A13="","",IFERROR(VLOOKUP($A13,Artikelstamm!$B:$I,2,FALSE),""))</f>
        <v/>
      </c>
      <c r="C13" s="21">
        <f>IF($A13="","",IFERROR(VLOOKUP($A13,Artikelstamm!$B:$I,3,FALSE),""))</f>
        <v/>
      </c>
      <c r="D13" s="22">
        <f>IF($A13="","",IFERROR(VLOOKUP($A13,Artikelstamm!$B:$I,4,FALSE),""))</f>
        <v/>
      </c>
      <c r="E13" s="21">
        <f>IF($A13="","",IFERROR(VLOOKUP($A13,Artikelstamm!$B:$I,6,FALSE),""))</f>
        <v/>
      </c>
      <c r="F13" s="23" t="n"/>
      <c r="G13" s="21">
        <f>IF($A13="","",IF(COUNTIF(Artikelstamm!$B:$B,$A13)=0,"NEU – in Artikelstamm aufnehmen","OK"))</f>
        <v/>
      </c>
      <c r="H13" s="19" t="n"/>
    </row>
    <row r="14">
      <c r="A14" s="19" t="n"/>
      <c r="B14" s="21">
        <f>IF($A14="","",IFERROR(VLOOKUP($A14,Artikelstamm!$B:$I,2,FALSE),""))</f>
        <v/>
      </c>
      <c r="C14" s="21">
        <f>IF($A14="","",IFERROR(VLOOKUP($A14,Artikelstamm!$B:$I,3,FALSE),""))</f>
        <v/>
      </c>
      <c r="D14" s="22">
        <f>IF($A14="","",IFERROR(VLOOKUP($A14,Artikelstamm!$B:$I,4,FALSE),""))</f>
        <v/>
      </c>
      <c r="E14" s="21">
        <f>IF($A14="","",IFERROR(VLOOKUP($A14,Artikelstamm!$B:$I,6,FALSE),""))</f>
        <v/>
      </c>
      <c r="F14" s="23" t="n"/>
      <c r="G14" s="21">
        <f>IF($A14="","",IF(COUNTIF(Artikelstamm!$B:$B,$A14)=0,"NEU – in Artikelstamm aufnehmen","OK"))</f>
        <v/>
      </c>
      <c r="H14" s="19" t="n"/>
    </row>
    <row r="15">
      <c r="A15" s="19" t="n"/>
      <c r="B15" s="21">
        <f>IF($A15="","",IFERROR(VLOOKUP($A15,Artikelstamm!$B:$I,2,FALSE),""))</f>
        <v/>
      </c>
      <c r="C15" s="21">
        <f>IF($A15="","",IFERROR(VLOOKUP($A15,Artikelstamm!$B:$I,3,FALSE),""))</f>
        <v/>
      </c>
      <c r="D15" s="22">
        <f>IF($A15="","",IFERROR(VLOOKUP($A15,Artikelstamm!$B:$I,4,FALSE),""))</f>
        <v/>
      </c>
      <c r="E15" s="21">
        <f>IF($A15="","",IFERROR(VLOOKUP($A15,Artikelstamm!$B:$I,6,FALSE),""))</f>
        <v/>
      </c>
      <c r="F15" s="23" t="n"/>
      <c r="G15" s="21">
        <f>IF($A15="","",IF(COUNTIF(Artikelstamm!$B:$B,$A15)=0,"NEU – in Artikelstamm aufnehmen","OK"))</f>
        <v/>
      </c>
      <c r="H15" s="19" t="n"/>
    </row>
    <row r="16">
      <c r="A16" s="19" t="n"/>
      <c r="B16" s="21">
        <f>IF($A16="","",IFERROR(VLOOKUP($A16,Artikelstamm!$B:$I,2,FALSE),""))</f>
        <v/>
      </c>
      <c r="C16" s="21">
        <f>IF($A16="","",IFERROR(VLOOKUP($A16,Artikelstamm!$B:$I,3,FALSE),""))</f>
        <v/>
      </c>
      <c r="D16" s="22">
        <f>IF($A16="","",IFERROR(VLOOKUP($A16,Artikelstamm!$B:$I,4,FALSE),""))</f>
        <v/>
      </c>
      <c r="E16" s="21">
        <f>IF($A16="","",IFERROR(VLOOKUP($A16,Artikelstamm!$B:$I,6,FALSE),""))</f>
        <v/>
      </c>
      <c r="F16" s="23" t="n"/>
      <c r="G16" s="21">
        <f>IF($A16="","",IF(COUNTIF(Artikelstamm!$B:$B,$A16)=0,"NEU – in Artikelstamm aufnehmen","OK"))</f>
        <v/>
      </c>
      <c r="H16" s="19" t="n"/>
    </row>
    <row r="17">
      <c r="A17" s="19" t="n"/>
      <c r="B17" s="21">
        <f>IF($A17="","",IFERROR(VLOOKUP($A17,Artikelstamm!$B:$I,2,FALSE),""))</f>
        <v/>
      </c>
      <c r="C17" s="21">
        <f>IF($A17="","",IFERROR(VLOOKUP($A17,Artikelstamm!$B:$I,3,FALSE),""))</f>
        <v/>
      </c>
      <c r="D17" s="22">
        <f>IF($A17="","",IFERROR(VLOOKUP($A17,Artikelstamm!$B:$I,4,FALSE),""))</f>
        <v/>
      </c>
      <c r="E17" s="21">
        <f>IF($A17="","",IFERROR(VLOOKUP($A17,Artikelstamm!$B:$I,6,FALSE),""))</f>
        <v/>
      </c>
      <c r="F17" s="23" t="n"/>
      <c r="G17" s="21">
        <f>IF($A17="","",IF(COUNTIF(Artikelstamm!$B:$B,$A17)=0,"NEU – in Artikelstamm aufnehmen","OK"))</f>
        <v/>
      </c>
      <c r="H17" s="19" t="n"/>
    </row>
    <row r="18">
      <c r="A18" s="19" t="n"/>
      <c r="B18" s="21">
        <f>IF($A18="","",IFERROR(VLOOKUP($A18,Artikelstamm!$B:$I,2,FALSE),""))</f>
        <v/>
      </c>
      <c r="C18" s="21">
        <f>IF($A18="","",IFERROR(VLOOKUP($A18,Artikelstamm!$B:$I,3,FALSE),""))</f>
        <v/>
      </c>
      <c r="D18" s="22">
        <f>IF($A18="","",IFERROR(VLOOKUP($A18,Artikelstamm!$B:$I,4,FALSE),""))</f>
        <v/>
      </c>
      <c r="E18" s="21">
        <f>IF($A18="","",IFERROR(VLOOKUP($A18,Artikelstamm!$B:$I,6,FALSE),""))</f>
        <v/>
      </c>
      <c r="F18" s="23" t="n"/>
      <c r="G18" s="21">
        <f>IF($A18="","",IF(COUNTIF(Artikelstamm!$B:$B,$A18)=0,"NEU – in Artikelstamm aufnehmen","OK"))</f>
        <v/>
      </c>
      <c r="H18" s="19" t="n"/>
    </row>
    <row r="19">
      <c r="A19" s="19" t="n"/>
      <c r="B19" s="21">
        <f>IF($A19="","",IFERROR(VLOOKUP($A19,Artikelstamm!$B:$I,2,FALSE),""))</f>
        <v/>
      </c>
      <c r="C19" s="21">
        <f>IF($A19="","",IFERROR(VLOOKUP($A19,Artikelstamm!$B:$I,3,FALSE),""))</f>
        <v/>
      </c>
      <c r="D19" s="22">
        <f>IF($A19="","",IFERROR(VLOOKUP($A19,Artikelstamm!$B:$I,4,FALSE),""))</f>
        <v/>
      </c>
      <c r="E19" s="21">
        <f>IF($A19="","",IFERROR(VLOOKUP($A19,Artikelstamm!$B:$I,6,FALSE),""))</f>
        <v/>
      </c>
      <c r="F19" s="23" t="n"/>
      <c r="G19" s="21">
        <f>IF($A19="","",IF(COUNTIF(Artikelstamm!$B:$B,$A19)=0,"NEU – in Artikelstamm aufnehmen","OK"))</f>
        <v/>
      </c>
      <c r="H19" s="19" t="n"/>
    </row>
    <row r="20">
      <c r="A20" s="19" t="n"/>
      <c r="B20" s="21">
        <f>IF($A20="","",IFERROR(VLOOKUP($A20,Artikelstamm!$B:$I,2,FALSE),""))</f>
        <v/>
      </c>
      <c r="C20" s="21">
        <f>IF($A20="","",IFERROR(VLOOKUP($A20,Artikelstamm!$B:$I,3,FALSE),""))</f>
        <v/>
      </c>
      <c r="D20" s="22">
        <f>IF($A20="","",IFERROR(VLOOKUP($A20,Artikelstamm!$B:$I,4,FALSE),""))</f>
        <v/>
      </c>
      <c r="E20" s="21">
        <f>IF($A20="","",IFERROR(VLOOKUP($A20,Artikelstamm!$B:$I,6,FALSE),""))</f>
        <v/>
      </c>
      <c r="F20" s="23" t="n"/>
      <c r="G20" s="21">
        <f>IF($A20="","",IF(COUNTIF(Artikelstamm!$B:$B,$A20)=0,"NEU – in Artikelstamm aufnehmen","OK"))</f>
        <v/>
      </c>
      <c r="H20" s="19" t="n"/>
    </row>
    <row r="21">
      <c r="A21" s="19" t="n"/>
      <c r="B21" s="21">
        <f>IF($A21="","",IFERROR(VLOOKUP($A21,Artikelstamm!$B:$I,2,FALSE),""))</f>
        <v/>
      </c>
      <c r="C21" s="21">
        <f>IF($A21="","",IFERROR(VLOOKUP($A21,Artikelstamm!$B:$I,3,FALSE),""))</f>
        <v/>
      </c>
      <c r="D21" s="22">
        <f>IF($A21="","",IFERROR(VLOOKUP($A21,Artikelstamm!$B:$I,4,FALSE),""))</f>
        <v/>
      </c>
      <c r="E21" s="21">
        <f>IF($A21="","",IFERROR(VLOOKUP($A21,Artikelstamm!$B:$I,6,FALSE),""))</f>
        <v/>
      </c>
      <c r="F21" s="23" t="n"/>
      <c r="G21" s="21">
        <f>IF($A21="","",IF(COUNTIF(Artikelstamm!$B:$B,$A21)=0,"NEU – in Artikelstamm aufnehmen","OK"))</f>
        <v/>
      </c>
      <c r="H21" s="19" t="n"/>
    </row>
    <row r="22">
      <c r="A22" s="19" t="n"/>
      <c r="B22" s="21">
        <f>IF($A22="","",IFERROR(VLOOKUP($A22,Artikelstamm!$B:$I,2,FALSE),""))</f>
        <v/>
      </c>
      <c r="C22" s="21">
        <f>IF($A22="","",IFERROR(VLOOKUP($A22,Artikelstamm!$B:$I,3,FALSE),""))</f>
        <v/>
      </c>
      <c r="D22" s="22">
        <f>IF($A22="","",IFERROR(VLOOKUP($A22,Artikelstamm!$B:$I,4,FALSE),""))</f>
        <v/>
      </c>
      <c r="E22" s="21">
        <f>IF($A22="","",IFERROR(VLOOKUP($A22,Artikelstamm!$B:$I,6,FALSE),""))</f>
        <v/>
      </c>
      <c r="F22" s="23" t="n"/>
      <c r="G22" s="21">
        <f>IF($A22="","",IF(COUNTIF(Artikelstamm!$B:$B,$A22)=0,"NEU – in Artikelstamm aufnehmen","OK"))</f>
        <v/>
      </c>
      <c r="H22" s="19" t="n"/>
    </row>
    <row r="23">
      <c r="A23" s="19" t="n"/>
      <c r="B23" s="21">
        <f>IF($A23="","",IFERROR(VLOOKUP($A23,Artikelstamm!$B:$I,2,FALSE),""))</f>
        <v/>
      </c>
      <c r="C23" s="21">
        <f>IF($A23="","",IFERROR(VLOOKUP($A23,Artikelstamm!$B:$I,3,FALSE),""))</f>
        <v/>
      </c>
      <c r="D23" s="22">
        <f>IF($A23="","",IFERROR(VLOOKUP($A23,Artikelstamm!$B:$I,4,FALSE),""))</f>
        <v/>
      </c>
      <c r="E23" s="21">
        <f>IF($A23="","",IFERROR(VLOOKUP($A23,Artikelstamm!$B:$I,6,FALSE),""))</f>
        <v/>
      </c>
      <c r="F23" s="23" t="n"/>
      <c r="G23" s="21">
        <f>IF($A23="","",IF(COUNTIF(Artikelstamm!$B:$B,$A23)=0,"NEU – in Artikelstamm aufnehmen","OK"))</f>
        <v/>
      </c>
      <c r="H23" s="19" t="n"/>
    </row>
    <row r="24">
      <c r="A24" s="19" t="n"/>
      <c r="B24" s="21">
        <f>IF($A24="","",IFERROR(VLOOKUP($A24,Artikelstamm!$B:$I,2,FALSE),""))</f>
        <v/>
      </c>
      <c r="C24" s="21">
        <f>IF($A24="","",IFERROR(VLOOKUP($A24,Artikelstamm!$B:$I,3,FALSE),""))</f>
        <v/>
      </c>
      <c r="D24" s="22">
        <f>IF($A24="","",IFERROR(VLOOKUP($A24,Artikelstamm!$B:$I,4,FALSE),""))</f>
        <v/>
      </c>
      <c r="E24" s="21">
        <f>IF($A24="","",IFERROR(VLOOKUP($A24,Artikelstamm!$B:$I,6,FALSE),""))</f>
        <v/>
      </c>
      <c r="F24" s="23" t="n"/>
      <c r="G24" s="21">
        <f>IF($A24="","",IF(COUNTIF(Artikelstamm!$B:$B,$A24)=0,"NEU – in Artikelstamm aufnehmen","OK"))</f>
        <v/>
      </c>
      <c r="H24" s="19" t="n"/>
    </row>
    <row r="25">
      <c r="A25" s="19" t="n"/>
      <c r="B25" s="21">
        <f>IF($A25="","",IFERROR(VLOOKUP($A25,Artikelstamm!$B:$I,2,FALSE),""))</f>
        <v/>
      </c>
      <c r="C25" s="21">
        <f>IF($A25="","",IFERROR(VLOOKUP($A25,Artikelstamm!$B:$I,3,FALSE),""))</f>
        <v/>
      </c>
      <c r="D25" s="22">
        <f>IF($A25="","",IFERROR(VLOOKUP($A25,Artikelstamm!$B:$I,4,FALSE),""))</f>
        <v/>
      </c>
      <c r="E25" s="21">
        <f>IF($A25="","",IFERROR(VLOOKUP($A25,Artikelstamm!$B:$I,6,FALSE),""))</f>
        <v/>
      </c>
      <c r="F25" s="23" t="n"/>
      <c r="G25" s="21">
        <f>IF($A25="","",IF(COUNTIF(Artikelstamm!$B:$B,$A25)=0,"NEU – in Artikelstamm aufnehmen","OK"))</f>
        <v/>
      </c>
      <c r="H25" s="19" t="n"/>
    </row>
    <row r="26">
      <c r="A26" s="19" t="n"/>
      <c r="B26" s="21">
        <f>IF($A26="","",IFERROR(VLOOKUP($A26,Artikelstamm!$B:$I,2,FALSE),""))</f>
        <v/>
      </c>
      <c r="C26" s="21">
        <f>IF($A26="","",IFERROR(VLOOKUP($A26,Artikelstamm!$B:$I,3,FALSE),""))</f>
        <v/>
      </c>
      <c r="D26" s="22">
        <f>IF($A26="","",IFERROR(VLOOKUP($A26,Artikelstamm!$B:$I,4,FALSE),""))</f>
        <v/>
      </c>
      <c r="E26" s="21">
        <f>IF($A26="","",IFERROR(VLOOKUP($A26,Artikelstamm!$B:$I,6,FALSE),""))</f>
        <v/>
      </c>
      <c r="F26" s="23" t="n"/>
      <c r="G26" s="21">
        <f>IF($A26="","",IF(COUNTIF(Artikelstamm!$B:$B,$A26)=0,"NEU – in Artikelstamm aufnehmen","OK"))</f>
        <v/>
      </c>
      <c r="H26" s="19" t="n"/>
    </row>
    <row r="27">
      <c r="A27" s="19" t="n"/>
      <c r="B27" s="21">
        <f>IF($A27="","",IFERROR(VLOOKUP($A27,Artikelstamm!$B:$I,2,FALSE),""))</f>
        <v/>
      </c>
      <c r="C27" s="21">
        <f>IF($A27="","",IFERROR(VLOOKUP($A27,Artikelstamm!$B:$I,3,FALSE),""))</f>
        <v/>
      </c>
      <c r="D27" s="22">
        <f>IF($A27="","",IFERROR(VLOOKUP($A27,Artikelstamm!$B:$I,4,FALSE),""))</f>
        <v/>
      </c>
      <c r="E27" s="21">
        <f>IF($A27="","",IFERROR(VLOOKUP($A27,Artikelstamm!$B:$I,6,FALSE),""))</f>
        <v/>
      </c>
      <c r="F27" s="23" t="n"/>
      <c r="G27" s="21">
        <f>IF($A27="","",IF(COUNTIF(Artikelstamm!$B:$B,$A27)=0,"NEU – in Artikelstamm aufnehmen","OK"))</f>
        <v/>
      </c>
      <c r="H27" s="19" t="n"/>
    </row>
    <row r="28">
      <c r="A28" s="19" t="n"/>
      <c r="B28" s="21">
        <f>IF($A28="","",IFERROR(VLOOKUP($A28,Artikelstamm!$B:$I,2,FALSE),""))</f>
        <v/>
      </c>
      <c r="C28" s="21">
        <f>IF($A28="","",IFERROR(VLOOKUP($A28,Artikelstamm!$B:$I,3,FALSE),""))</f>
        <v/>
      </c>
      <c r="D28" s="22">
        <f>IF($A28="","",IFERROR(VLOOKUP($A28,Artikelstamm!$B:$I,4,FALSE),""))</f>
        <v/>
      </c>
      <c r="E28" s="21">
        <f>IF($A28="","",IFERROR(VLOOKUP($A28,Artikelstamm!$B:$I,6,FALSE),""))</f>
        <v/>
      </c>
      <c r="F28" s="23" t="n"/>
      <c r="G28" s="21">
        <f>IF($A28="","",IF(COUNTIF(Artikelstamm!$B:$B,$A28)=0,"NEU – in Artikelstamm aufnehmen","OK"))</f>
        <v/>
      </c>
      <c r="H28" s="19" t="n"/>
    </row>
    <row r="29">
      <c r="A29" s="19" t="n"/>
      <c r="B29" s="21">
        <f>IF($A29="","",IFERROR(VLOOKUP($A29,Artikelstamm!$B:$I,2,FALSE),""))</f>
        <v/>
      </c>
      <c r="C29" s="21">
        <f>IF($A29="","",IFERROR(VLOOKUP($A29,Artikelstamm!$B:$I,3,FALSE),""))</f>
        <v/>
      </c>
      <c r="D29" s="22">
        <f>IF($A29="","",IFERROR(VLOOKUP($A29,Artikelstamm!$B:$I,4,FALSE),""))</f>
        <v/>
      </c>
      <c r="E29" s="21">
        <f>IF($A29="","",IFERROR(VLOOKUP($A29,Artikelstamm!$B:$I,6,FALSE),""))</f>
        <v/>
      </c>
      <c r="F29" s="23" t="n"/>
      <c r="G29" s="21">
        <f>IF($A29="","",IF(COUNTIF(Artikelstamm!$B:$B,$A29)=0,"NEU – in Artikelstamm aufnehmen","OK"))</f>
        <v/>
      </c>
      <c r="H29" s="19" t="n"/>
    </row>
    <row r="30">
      <c r="A30" s="19" t="n"/>
      <c r="B30" s="21">
        <f>IF($A30="","",IFERROR(VLOOKUP($A30,Artikelstamm!$B:$I,2,FALSE),""))</f>
        <v/>
      </c>
      <c r="C30" s="21">
        <f>IF($A30="","",IFERROR(VLOOKUP($A30,Artikelstamm!$B:$I,3,FALSE),""))</f>
        <v/>
      </c>
      <c r="D30" s="22">
        <f>IF($A30="","",IFERROR(VLOOKUP($A30,Artikelstamm!$B:$I,4,FALSE),""))</f>
        <v/>
      </c>
      <c r="E30" s="21">
        <f>IF($A30="","",IFERROR(VLOOKUP($A30,Artikelstamm!$B:$I,6,FALSE),""))</f>
        <v/>
      </c>
      <c r="F30" s="23" t="n"/>
      <c r="G30" s="21">
        <f>IF($A30="","",IF(COUNTIF(Artikelstamm!$B:$B,$A30)=0,"NEU – in Artikelstamm aufnehmen","OK"))</f>
        <v/>
      </c>
      <c r="H30" s="19" t="n"/>
    </row>
    <row r="31">
      <c r="A31" s="19" t="n"/>
      <c r="B31" s="21">
        <f>IF($A31="","",IFERROR(VLOOKUP($A31,Artikelstamm!$B:$I,2,FALSE),""))</f>
        <v/>
      </c>
      <c r="C31" s="21">
        <f>IF($A31="","",IFERROR(VLOOKUP($A31,Artikelstamm!$B:$I,3,FALSE),""))</f>
        <v/>
      </c>
      <c r="D31" s="22">
        <f>IF($A31="","",IFERROR(VLOOKUP($A31,Artikelstamm!$B:$I,4,FALSE),""))</f>
        <v/>
      </c>
      <c r="E31" s="21">
        <f>IF($A31="","",IFERROR(VLOOKUP($A31,Artikelstamm!$B:$I,6,FALSE),""))</f>
        <v/>
      </c>
      <c r="F31" s="23" t="n"/>
      <c r="G31" s="21">
        <f>IF($A31="","",IF(COUNTIF(Artikelstamm!$B:$B,$A31)=0,"NEU – in Artikelstamm aufnehmen","OK"))</f>
        <v/>
      </c>
      <c r="H31" s="19" t="n"/>
    </row>
    <row r="32">
      <c r="A32" s="19" t="n"/>
      <c r="B32" s="21">
        <f>IF($A32="","",IFERROR(VLOOKUP($A32,Artikelstamm!$B:$I,2,FALSE),""))</f>
        <v/>
      </c>
      <c r="C32" s="21">
        <f>IF($A32="","",IFERROR(VLOOKUP($A32,Artikelstamm!$B:$I,3,FALSE),""))</f>
        <v/>
      </c>
      <c r="D32" s="22">
        <f>IF($A32="","",IFERROR(VLOOKUP($A32,Artikelstamm!$B:$I,4,FALSE),""))</f>
        <v/>
      </c>
      <c r="E32" s="21">
        <f>IF($A32="","",IFERROR(VLOOKUP($A32,Artikelstamm!$B:$I,6,FALSE),""))</f>
        <v/>
      </c>
      <c r="F32" s="23" t="n"/>
      <c r="G32" s="21">
        <f>IF($A32="","",IF(COUNTIF(Artikelstamm!$B:$B,$A32)=0,"NEU – in Artikelstamm aufnehmen","OK"))</f>
        <v/>
      </c>
      <c r="H32" s="19" t="n"/>
    </row>
    <row r="33">
      <c r="A33" s="19" t="n"/>
      <c r="B33" s="21">
        <f>IF($A33="","",IFERROR(VLOOKUP($A33,Artikelstamm!$B:$I,2,FALSE),""))</f>
        <v/>
      </c>
      <c r="C33" s="21">
        <f>IF($A33="","",IFERROR(VLOOKUP($A33,Artikelstamm!$B:$I,3,FALSE),""))</f>
        <v/>
      </c>
      <c r="D33" s="22">
        <f>IF($A33="","",IFERROR(VLOOKUP($A33,Artikelstamm!$B:$I,4,FALSE),""))</f>
        <v/>
      </c>
      <c r="E33" s="21">
        <f>IF($A33="","",IFERROR(VLOOKUP($A33,Artikelstamm!$B:$I,6,FALSE),""))</f>
        <v/>
      </c>
      <c r="F33" s="23" t="n"/>
      <c r="G33" s="21">
        <f>IF($A33="","",IF(COUNTIF(Artikelstamm!$B:$B,$A33)=0,"NEU – in Artikelstamm aufnehmen","OK"))</f>
        <v/>
      </c>
      <c r="H33" s="19" t="n"/>
    </row>
    <row r="34">
      <c r="A34" s="19" t="n"/>
      <c r="B34" s="21">
        <f>IF($A34="","",IFERROR(VLOOKUP($A34,Artikelstamm!$B:$I,2,FALSE),""))</f>
        <v/>
      </c>
      <c r="C34" s="21">
        <f>IF($A34="","",IFERROR(VLOOKUP($A34,Artikelstamm!$B:$I,3,FALSE),""))</f>
        <v/>
      </c>
      <c r="D34" s="22">
        <f>IF($A34="","",IFERROR(VLOOKUP($A34,Artikelstamm!$B:$I,4,FALSE),""))</f>
        <v/>
      </c>
      <c r="E34" s="21">
        <f>IF($A34="","",IFERROR(VLOOKUP($A34,Artikelstamm!$B:$I,6,FALSE),""))</f>
        <v/>
      </c>
      <c r="F34" s="23" t="n"/>
      <c r="G34" s="21">
        <f>IF($A34="","",IF(COUNTIF(Artikelstamm!$B:$B,$A34)=0,"NEU – in Artikelstamm aufnehmen","OK"))</f>
        <v/>
      </c>
      <c r="H34" s="19" t="n"/>
    </row>
    <row r="35">
      <c r="A35" s="19" t="n"/>
      <c r="B35" s="21">
        <f>IF($A35="","",IFERROR(VLOOKUP($A35,Artikelstamm!$B:$I,2,FALSE),""))</f>
        <v/>
      </c>
      <c r="C35" s="21">
        <f>IF($A35="","",IFERROR(VLOOKUP($A35,Artikelstamm!$B:$I,3,FALSE),""))</f>
        <v/>
      </c>
      <c r="D35" s="22">
        <f>IF($A35="","",IFERROR(VLOOKUP($A35,Artikelstamm!$B:$I,4,FALSE),""))</f>
        <v/>
      </c>
      <c r="E35" s="21">
        <f>IF($A35="","",IFERROR(VLOOKUP($A35,Artikelstamm!$B:$I,6,FALSE),""))</f>
        <v/>
      </c>
      <c r="F35" s="23" t="n"/>
      <c r="G35" s="21">
        <f>IF($A35="","",IF(COUNTIF(Artikelstamm!$B:$B,$A35)=0,"NEU – in Artikelstamm aufnehmen","OK"))</f>
        <v/>
      </c>
      <c r="H35" s="19" t="n"/>
    </row>
    <row r="36">
      <c r="A36" s="19" t="n"/>
      <c r="B36" s="21">
        <f>IF($A36="","",IFERROR(VLOOKUP($A36,Artikelstamm!$B:$I,2,FALSE),""))</f>
        <v/>
      </c>
      <c r="C36" s="21">
        <f>IF($A36="","",IFERROR(VLOOKUP($A36,Artikelstamm!$B:$I,3,FALSE),""))</f>
        <v/>
      </c>
      <c r="D36" s="22">
        <f>IF($A36="","",IFERROR(VLOOKUP($A36,Artikelstamm!$B:$I,4,FALSE),""))</f>
        <v/>
      </c>
      <c r="E36" s="21">
        <f>IF($A36="","",IFERROR(VLOOKUP($A36,Artikelstamm!$B:$I,6,FALSE),""))</f>
        <v/>
      </c>
      <c r="F36" s="23" t="n"/>
      <c r="G36" s="21">
        <f>IF($A36="","",IF(COUNTIF(Artikelstamm!$B:$B,$A36)=0,"NEU – in Artikelstamm aufnehmen","OK"))</f>
        <v/>
      </c>
      <c r="H36" s="19" t="n"/>
    </row>
    <row r="37">
      <c r="A37" s="19" t="n"/>
      <c r="B37" s="21">
        <f>IF($A37="","",IFERROR(VLOOKUP($A37,Artikelstamm!$B:$I,2,FALSE),""))</f>
        <v/>
      </c>
      <c r="C37" s="21">
        <f>IF($A37="","",IFERROR(VLOOKUP($A37,Artikelstamm!$B:$I,3,FALSE),""))</f>
        <v/>
      </c>
      <c r="D37" s="22">
        <f>IF($A37="","",IFERROR(VLOOKUP($A37,Artikelstamm!$B:$I,4,FALSE),""))</f>
        <v/>
      </c>
      <c r="E37" s="21">
        <f>IF($A37="","",IFERROR(VLOOKUP($A37,Artikelstamm!$B:$I,6,FALSE),""))</f>
        <v/>
      </c>
      <c r="F37" s="23" t="n"/>
      <c r="G37" s="21">
        <f>IF($A37="","",IF(COUNTIF(Artikelstamm!$B:$B,$A37)=0,"NEU – in Artikelstamm aufnehmen","OK"))</f>
        <v/>
      </c>
      <c r="H37" s="19" t="n"/>
    </row>
    <row r="38">
      <c r="A38" s="19" t="n"/>
      <c r="B38" s="21">
        <f>IF($A38="","",IFERROR(VLOOKUP($A38,Artikelstamm!$B:$I,2,FALSE),""))</f>
        <v/>
      </c>
      <c r="C38" s="21">
        <f>IF($A38="","",IFERROR(VLOOKUP($A38,Artikelstamm!$B:$I,3,FALSE),""))</f>
        <v/>
      </c>
      <c r="D38" s="22">
        <f>IF($A38="","",IFERROR(VLOOKUP($A38,Artikelstamm!$B:$I,4,FALSE),""))</f>
        <v/>
      </c>
      <c r="E38" s="21">
        <f>IF($A38="","",IFERROR(VLOOKUP($A38,Artikelstamm!$B:$I,6,FALSE),""))</f>
        <v/>
      </c>
      <c r="F38" s="23" t="n"/>
      <c r="G38" s="21">
        <f>IF($A38="","",IF(COUNTIF(Artikelstamm!$B:$B,$A38)=0,"NEU – in Artikelstamm aufnehmen","OK"))</f>
        <v/>
      </c>
      <c r="H38" s="19" t="n"/>
    </row>
    <row r="39">
      <c r="A39" s="19" t="n"/>
      <c r="B39" s="21">
        <f>IF($A39="","",IFERROR(VLOOKUP($A39,Artikelstamm!$B:$I,2,FALSE),""))</f>
        <v/>
      </c>
      <c r="C39" s="21">
        <f>IF($A39="","",IFERROR(VLOOKUP($A39,Artikelstamm!$B:$I,3,FALSE),""))</f>
        <v/>
      </c>
      <c r="D39" s="22">
        <f>IF($A39="","",IFERROR(VLOOKUP($A39,Artikelstamm!$B:$I,4,FALSE),""))</f>
        <v/>
      </c>
      <c r="E39" s="21">
        <f>IF($A39="","",IFERROR(VLOOKUP($A39,Artikelstamm!$B:$I,6,FALSE),""))</f>
        <v/>
      </c>
      <c r="F39" s="23" t="n"/>
      <c r="G39" s="21">
        <f>IF($A39="","",IF(COUNTIF(Artikelstamm!$B:$B,$A39)=0,"NEU – in Artikelstamm aufnehmen","OK"))</f>
        <v/>
      </c>
      <c r="H39" s="19" t="n"/>
    </row>
    <row r="40">
      <c r="A40" s="19" t="n"/>
      <c r="B40" s="21">
        <f>IF($A40="","",IFERROR(VLOOKUP($A40,Artikelstamm!$B:$I,2,FALSE),""))</f>
        <v/>
      </c>
      <c r="C40" s="21">
        <f>IF($A40="","",IFERROR(VLOOKUP($A40,Artikelstamm!$B:$I,3,FALSE),""))</f>
        <v/>
      </c>
      <c r="D40" s="22">
        <f>IF($A40="","",IFERROR(VLOOKUP($A40,Artikelstamm!$B:$I,4,FALSE),""))</f>
        <v/>
      </c>
      <c r="E40" s="21">
        <f>IF($A40="","",IFERROR(VLOOKUP($A40,Artikelstamm!$B:$I,6,FALSE),""))</f>
        <v/>
      </c>
      <c r="F40" s="23" t="n"/>
      <c r="G40" s="21">
        <f>IF($A40="","",IF(COUNTIF(Artikelstamm!$B:$B,$A40)=0,"NEU – in Artikelstamm aufnehmen","OK"))</f>
        <v/>
      </c>
      <c r="H40" s="19" t="n"/>
    </row>
    <row r="41">
      <c r="A41" s="19" t="n"/>
      <c r="B41" s="21">
        <f>IF($A41="","",IFERROR(VLOOKUP($A41,Artikelstamm!$B:$I,2,FALSE),""))</f>
        <v/>
      </c>
      <c r="C41" s="21">
        <f>IF($A41="","",IFERROR(VLOOKUP($A41,Artikelstamm!$B:$I,3,FALSE),""))</f>
        <v/>
      </c>
      <c r="D41" s="22">
        <f>IF($A41="","",IFERROR(VLOOKUP($A41,Artikelstamm!$B:$I,4,FALSE),""))</f>
        <v/>
      </c>
      <c r="E41" s="21">
        <f>IF($A41="","",IFERROR(VLOOKUP($A41,Artikelstamm!$B:$I,6,FALSE),""))</f>
        <v/>
      </c>
      <c r="F41" s="23" t="n"/>
      <c r="G41" s="21">
        <f>IF($A41="","",IF(COUNTIF(Artikelstamm!$B:$B,$A41)=0,"NEU – in Artikelstamm aufnehmen","OK"))</f>
        <v/>
      </c>
      <c r="H41" s="19" t="n"/>
    </row>
    <row r="42">
      <c r="A42" s="19" t="n"/>
      <c r="B42" s="21">
        <f>IF($A42="","",IFERROR(VLOOKUP($A42,Artikelstamm!$B:$I,2,FALSE),""))</f>
        <v/>
      </c>
      <c r="C42" s="21">
        <f>IF($A42="","",IFERROR(VLOOKUP($A42,Artikelstamm!$B:$I,3,FALSE),""))</f>
        <v/>
      </c>
      <c r="D42" s="22">
        <f>IF($A42="","",IFERROR(VLOOKUP($A42,Artikelstamm!$B:$I,4,FALSE),""))</f>
        <v/>
      </c>
      <c r="E42" s="21">
        <f>IF($A42="","",IFERROR(VLOOKUP($A42,Artikelstamm!$B:$I,6,FALSE),""))</f>
        <v/>
      </c>
      <c r="F42" s="23" t="n"/>
      <c r="G42" s="21">
        <f>IF($A42="","",IF(COUNTIF(Artikelstamm!$B:$B,$A42)=0,"NEU – in Artikelstamm aufnehmen","OK"))</f>
        <v/>
      </c>
      <c r="H42" s="19" t="n"/>
    </row>
    <row r="43">
      <c r="A43" s="19" t="n"/>
      <c r="B43" s="21">
        <f>IF($A43="","",IFERROR(VLOOKUP($A43,Artikelstamm!$B:$I,2,FALSE),""))</f>
        <v/>
      </c>
      <c r="C43" s="21">
        <f>IF($A43="","",IFERROR(VLOOKUP($A43,Artikelstamm!$B:$I,3,FALSE),""))</f>
        <v/>
      </c>
      <c r="D43" s="22">
        <f>IF($A43="","",IFERROR(VLOOKUP($A43,Artikelstamm!$B:$I,4,FALSE),""))</f>
        <v/>
      </c>
      <c r="E43" s="21">
        <f>IF($A43="","",IFERROR(VLOOKUP($A43,Artikelstamm!$B:$I,6,FALSE),""))</f>
        <v/>
      </c>
      <c r="F43" s="23" t="n"/>
      <c r="G43" s="21">
        <f>IF($A43="","",IF(COUNTIF(Artikelstamm!$B:$B,$A43)=0,"NEU – in Artikelstamm aufnehmen","OK"))</f>
        <v/>
      </c>
      <c r="H43" s="19" t="n"/>
    </row>
    <row r="44">
      <c r="A44" s="19" t="n"/>
      <c r="B44" s="21">
        <f>IF($A44="","",IFERROR(VLOOKUP($A44,Artikelstamm!$B:$I,2,FALSE),""))</f>
        <v/>
      </c>
      <c r="C44" s="21">
        <f>IF($A44="","",IFERROR(VLOOKUP($A44,Artikelstamm!$B:$I,3,FALSE),""))</f>
        <v/>
      </c>
      <c r="D44" s="22">
        <f>IF($A44="","",IFERROR(VLOOKUP($A44,Artikelstamm!$B:$I,4,FALSE),""))</f>
        <v/>
      </c>
      <c r="E44" s="21">
        <f>IF($A44="","",IFERROR(VLOOKUP($A44,Artikelstamm!$B:$I,6,FALSE),""))</f>
        <v/>
      </c>
      <c r="F44" s="23" t="n"/>
      <c r="G44" s="21">
        <f>IF($A44="","",IF(COUNTIF(Artikelstamm!$B:$B,$A44)=0,"NEU – in Artikelstamm aufnehmen","OK"))</f>
        <v/>
      </c>
      <c r="H44" s="19" t="n"/>
    </row>
    <row r="45">
      <c r="A45" s="19" t="n"/>
      <c r="B45" s="21">
        <f>IF($A45="","",IFERROR(VLOOKUP($A45,Artikelstamm!$B:$I,2,FALSE),""))</f>
        <v/>
      </c>
      <c r="C45" s="21">
        <f>IF($A45="","",IFERROR(VLOOKUP($A45,Artikelstamm!$B:$I,3,FALSE),""))</f>
        <v/>
      </c>
      <c r="D45" s="22">
        <f>IF($A45="","",IFERROR(VLOOKUP($A45,Artikelstamm!$B:$I,4,FALSE),""))</f>
        <v/>
      </c>
      <c r="E45" s="21">
        <f>IF($A45="","",IFERROR(VLOOKUP($A45,Artikelstamm!$B:$I,6,FALSE),""))</f>
        <v/>
      </c>
      <c r="F45" s="23" t="n"/>
      <c r="G45" s="21">
        <f>IF($A45="","",IF(COUNTIF(Artikelstamm!$B:$B,$A45)=0,"NEU – in Artikelstamm aufnehmen","OK"))</f>
        <v/>
      </c>
      <c r="H45" s="19" t="n"/>
    </row>
    <row r="46">
      <c r="A46" s="19" t="n"/>
      <c r="B46" s="21">
        <f>IF($A46="","",IFERROR(VLOOKUP($A46,Artikelstamm!$B:$I,2,FALSE),""))</f>
        <v/>
      </c>
      <c r="C46" s="21">
        <f>IF($A46="","",IFERROR(VLOOKUP($A46,Artikelstamm!$B:$I,3,FALSE),""))</f>
        <v/>
      </c>
      <c r="D46" s="22">
        <f>IF($A46="","",IFERROR(VLOOKUP($A46,Artikelstamm!$B:$I,4,FALSE),""))</f>
        <v/>
      </c>
      <c r="E46" s="21">
        <f>IF($A46="","",IFERROR(VLOOKUP($A46,Artikelstamm!$B:$I,6,FALSE),""))</f>
        <v/>
      </c>
      <c r="F46" s="23" t="n"/>
      <c r="G46" s="21">
        <f>IF($A46="","",IF(COUNTIF(Artikelstamm!$B:$B,$A46)=0,"NEU – in Artikelstamm aufnehmen","OK"))</f>
        <v/>
      </c>
      <c r="H46" s="19" t="n"/>
    </row>
    <row r="47">
      <c r="A47" s="19" t="n"/>
      <c r="B47" s="21">
        <f>IF($A47="","",IFERROR(VLOOKUP($A47,Artikelstamm!$B:$I,2,FALSE),""))</f>
        <v/>
      </c>
      <c r="C47" s="21">
        <f>IF($A47="","",IFERROR(VLOOKUP($A47,Artikelstamm!$B:$I,3,FALSE),""))</f>
        <v/>
      </c>
      <c r="D47" s="22">
        <f>IF($A47="","",IFERROR(VLOOKUP($A47,Artikelstamm!$B:$I,4,FALSE),""))</f>
        <v/>
      </c>
      <c r="E47" s="21">
        <f>IF($A47="","",IFERROR(VLOOKUP($A47,Artikelstamm!$B:$I,6,FALSE),""))</f>
        <v/>
      </c>
      <c r="F47" s="23" t="n"/>
      <c r="G47" s="21">
        <f>IF($A47="","",IF(COUNTIF(Artikelstamm!$B:$B,$A47)=0,"NEU – in Artikelstamm aufnehmen","OK"))</f>
        <v/>
      </c>
      <c r="H47" s="19" t="n"/>
    </row>
    <row r="48">
      <c r="A48" s="19" t="n"/>
      <c r="B48" s="21">
        <f>IF($A48="","",IFERROR(VLOOKUP($A48,Artikelstamm!$B:$I,2,FALSE),""))</f>
        <v/>
      </c>
      <c r="C48" s="21">
        <f>IF($A48="","",IFERROR(VLOOKUP($A48,Artikelstamm!$B:$I,3,FALSE),""))</f>
        <v/>
      </c>
      <c r="D48" s="22">
        <f>IF($A48="","",IFERROR(VLOOKUP($A48,Artikelstamm!$B:$I,4,FALSE),""))</f>
        <v/>
      </c>
      <c r="E48" s="21">
        <f>IF($A48="","",IFERROR(VLOOKUP($A48,Artikelstamm!$B:$I,6,FALSE),""))</f>
        <v/>
      </c>
      <c r="F48" s="23" t="n"/>
      <c r="G48" s="21">
        <f>IF($A48="","",IF(COUNTIF(Artikelstamm!$B:$B,$A48)=0,"NEU – in Artikelstamm aufnehmen","OK"))</f>
        <v/>
      </c>
      <c r="H48" s="19" t="n"/>
    </row>
    <row r="49">
      <c r="A49" s="19" t="n"/>
      <c r="B49" s="21">
        <f>IF($A49="","",IFERROR(VLOOKUP($A49,Artikelstamm!$B:$I,2,FALSE),""))</f>
        <v/>
      </c>
      <c r="C49" s="21">
        <f>IF($A49="","",IFERROR(VLOOKUP($A49,Artikelstamm!$B:$I,3,FALSE),""))</f>
        <v/>
      </c>
      <c r="D49" s="22">
        <f>IF($A49="","",IFERROR(VLOOKUP($A49,Artikelstamm!$B:$I,4,FALSE),""))</f>
        <v/>
      </c>
      <c r="E49" s="21">
        <f>IF($A49="","",IFERROR(VLOOKUP($A49,Artikelstamm!$B:$I,6,FALSE),""))</f>
        <v/>
      </c>
      <c r="F49" s="23" t="n"/>
      <c r="G49" s="21">
        <f>IF($A49="","",IF(COUNTIF(Artikelstamm!$B:$B,$A49)=0,"NEU – in Artikelstamm aufnehmen","OK"))</f>
        <v/>
      </c>
      <c r="H49" s="19" t="n"/>
    </row>
    <row r="50">
      <c r="A50" s="19" t="n"/>
      <c r="B50" s="21">
        <f>IF($A50="","",IFERROR(VLOOKUP($A50,Artikelstamm!$B:$I,2,FALSE),""))</f>
        <v/>
      </c>
      <c r="C50" s="21">
        <f>IF($A50="","",IFERROR(VLOOKUP($A50,Artikelstamm!$B:$I,3,FALSE),""))</f>
        <v/>
      </c>
      <c r="D50" s="22">
        <f>IF($A50="","",IFERROR(VLOOKUP($A50,Artikelstamm!$B:$I,4,FALSE),""))</f>
        <v/>
      </c>
      <c r="E50" s="21">
        <f>IF($A50="","",IFERROR(VLOOKUP($A50,Artikelstamm!$B:$I,6,FALSE),""))</f>
        <v/>
      </c>
      <c r="F50" s="23" t="n"/>
      <c r="G50" s="21">
        <f>IF($A50="","",IF(COUNTIF(Artikelstamm!$B:$B,$A50)=0,"NEU – in Artikelstamm aufnehmen","OK"))</f>
        <v/>
      </c>
      <c r="H50" s="19" t="n"/>
    </row>
    <row r="51">
      <c r="A51" s="19" t="n"/>
      <c r="B51" s="21">
        <f>IF($A51="","",IFERROR(VLOOKUP($A51,Artikelstamm!$B:$I,2,FALSE),""))</f>
        <v/>
      </c>
      <c r="C51" s="21">
        <f>IF($A51="","",IFERROR(VLOOKUP($A51,Artikelstamm!$B:$I,3,FALSE),""))</f>
        <v/>
      </c>
      <c r="D51" s="22">
        <f>IF($A51="","",IFERROR(VLOOKUP($A51,Artikelstamm!$B:$I,4,FALSE),""))</f>
        <v/>
      </c>
      <c r="E51" s="21">
        <f>IF($A51="","",IFERROR(VLOOKUP($A51,Artikelstamm!$B:$I,6,FALSE),""))</f>
        <v/>
      </c>
      <c r="F51" s="23" t="n"/>
      <c r="G51" s="21">
        <f>IF($A51="","",IF(COUNTIF(Artikelstamm!$B:$B,$A51)=0,"NEU – in Artikelstamm aufnehmen","OK"))</f>
        <v/>
      </c>
      <c r="H51" s="19" t="n"/>
    </row>
    <row r="52">
      <c r="A52" s="19" t="n"/>
      <c r="B52" s="21">
        <f>IF($A52="","",IFERROR(VLOOKUP($A52,Artikelstamm!$B:$I,2,FALSE),""))</f>
        <v/>
      </c>
      <c r="C52" s="21">
        <f>IF($A52="","",IFERROR(VLOOKUP($A52,Artikelstamm!$B:$I,3,FALSE),""))</f>
        <v/>
      </c>
      <c r="D52" s="22">
        <f>IF($A52="","",IFERROR(VLOOKUP($A52,Artikelstamm!$B:$I,4,FALSE),""))</f>
        <v/>
      </c>
      <c r="E52" s="21">
        <f>IF($A52="","",IFERROR(VLOOKUP($A52,Artikelstamm!$B:$I,6,FALSE),""))</f>
        <v/>
      </c>
      <c r="F52" s="23" t="n"/>
      <c r="G52" s="21">
        <f>IF($A52="","",IF(COUNTIF(Artikelstamm!$B:$B,$A52)=0,"NEU – in Artikelstamm aufnehmen","OK"))</f>
        <v/>
      </c>
      <c r="H52" s="19" t="n"/>
    </row>
    <row r="53">
      <c r="A53" s="19" t="n"/>
      <c r="B53" s="21">
        <f>IF($A53="","",IFERROR(VLOOKUP($A53,Artikelstamm!$B:$I,2,FALSE),""))</f>
        <v/>
      </c>
      <c r="C53" s="21">
        <f>IF($A53="","",IFERROR(VLOOKUP($A53,Artikelstamm!$B:$I,3,FALSE),""))</f>
        <v/>
      </c>
      <c r="D53" s="22">
        <f>IF($A53="","",IFERROR(VLOOKUP($A53,Artikelstamm!$B:$I,4,FALSE),""))</f>
        <v/>
      </c>
      <c r="E53" s="21">
        <f>IF($A53="","",IFERROR(VLOOKUP($A53,Artikelstamm!$B:$I,6,FALSE),""))</f>
        <v/>
      </c>
      <c r="F53" s="23" t="n"/>
      <c r="G53" s="21">
        <f>IF($A53="","",IF(COUNTIF(Artikelstamm!$B:$B,$A53)=0,"NEU – in Artikelstamm aufnehmen","OK"))</f>
        <v/>
      </c>
      <c r="H53" s="19" t="n"/>
    </row>
    <row r="54">
      <c r="A54" s="19" t="n"/>
      <c r="B54" s="21">
        <f>IF($A54="","",IFERROR(VLOOKUP($A54,Artikelstamm!$B:$I,2,FALSE),""))</f>
        <v/>
      </c>
      <c r="C54" s="21">
        <f>IF($A54="","",IFERROR(VLOOKUP($A54,Artikelstamm!$B:$I,3,FALSE),""))</f>
        <v/>
      </c>
      <c r="D54" s="22">
        <f>IF($A54="","",IFERROR(VLOOKUP($A54,Artikelstamm!$B:$I,4,FALSE),""))</f>
        <v/>
      </c>
      <c r="E54" s="21">
        <f>IF($A54="","",IFERROR(VLOOKUP($A54,Artikelstamm!$B:$I,6,FALSE),""))</f>
        <v/>
      </c>
      <c r="F54" s="23" t="n"/>
      <c r="G54" s="21">
        <f>IF($A54="","",IF(COUNTIF(Artikelstamm!$B:$B,$A54)=0,"NEU – in Artikelstamm aufnehmen","OK"))</f>
        <v/>
      </c>
      <c r="H54" s="19" t="n"/>
    </row>
    <row r="55">
      <c r="A55" s="19" t="n"/>
      <c r="B55" s="21">
        <f>IF($A55="","",IFERROR(VLOOKUP($A55,Artikelstamm!$B:$I,2,FALSE),""))</f>
        <v/>
      </c>
      <c r="C55" s="21">
        <f>IF($A55="","",IFERROR(VLOOKUP($A55,Artikelstamm!$B:$I,3,FALSE),""))</f>
        <v/>
      </c>
      <c r="D55" s="22">
        <f>IF($A55="","",IFERROR(VLOOKUP($A55,Artikelstamm!$B:$I,4,FALSE),""))</f>
        <v/>
      </c>
      <c r="E55" s="21">
        <f>IF($A55="","",IFERROR(VLOOKUP($A55,Artikelstamm!$B:$I,6,FALSE),""))</f>
        <v/>
      </c>
      <c r="F55" s="23" t="n"/>
      <c r="G55" s="21">
        <f>IF($A55="","",IF(COUNTIF(Artikelstamm!$B:$B,$A55)=0,"NEU – in Artikelstamm aufnehmen","OK"))</f>
        <v/>
      </c>
      <c r="H55" s="19" t="n"/>
    </row>
    <row r="56">
      <c r="A56" s="19" t="n"/>
      <c r="B56" s="21">
        <f>IF($A56="","",IFERROR(VLOOKUP($A56,Artikelstamm!$B:$I,2,FALSE),""))</f>
        <v/>
      </c>
      <c r="C56" s="21">
        <f>IF($A56="","",IFERROR(VLOOKUP($A56,Artikelstamm!$B:$I,3,FALSE),""))</f>
        <v/>
      </c>
      <c r="D56" s="22">
        <f>IF($A56="","",IFERROR(VLOOKUP($A56,Artikelstamm!$B:$I,4,FALSE),""))</f>
        <v/>
      </c>
      <c r="E56" s="21">
        <f>IF($A56="","",IFERROR(VLOOKUP($A56,Artikelstamm!$B:$I,6,FALSE),""))</f>
        <v/>
      </c>
      <c r="F56" s="23" t="n"/>
      <c r="G56" s="21">
        <f>IF($A56="","",IF(COUNTIF(Artikelstamm!$B:$B,$A56)=0,"NEU – in Artikelstamm aufnehmen","OK"))</f>
        <v/>
      </c>
      <c r="H56" s="19" t="n"/>
    </row>
    <row r="57">
      <c r="A57" s="19" t="n"/>
      <c r="B57" s="21">
        <f>IF($A57="","",IFERROR(VLOOKUP($A57,Artikelstamm!$B:$I,2,FALSE),""))</f>
        <v/>
      </c>
      <c r="C57" s="21">
        <f>IF($A57="","",IFERROR(VLOOKUP($A57,Artikelstamm!$B:$I,3,FALSE),""))</f>
        <v/>
      </c>
      <c r="D57" s="22">
        <f>IF($A57="","",IFERROR(VLOOKUP($A57,Artikelstamm!$B:$I,4,FALSE),""))</f>
        <v/>
      </c>
      <c r="E57" s="21">
        <f>IF($A57="","",IFERROR(VLOOKUP($A57,Artikelstamm!$B:$I,6,FALSE),""))</f>
        <v/>
      </c>
      <c r="F57" s="23" t="n"/>
      <c r="G57" s="21">
        <f>IF($A57="","",IF(COUNTIF(Artikelstamm!$B:$B,$A57)=0,"NEU – in Artikelstamm aufnehmen","OK"))</f>
        <v/>
      </c>
      <c r="H57" s="19" t="n"/>
    </row>
    <row r="58">
      <c r="A58" s="19" t="n"/>
      <c r="B58" s="21">
        <f>IF($A58="","",IFERROR(VLOOKUP($A58,Artikelstamm!$B:$I,2,FALSE),""))</f>
        <v/>
      </c>
      <c r="C58" s="21">
        <f>IF($A58="","",IFERROR(VLOOKUP($A58,Artikelstamm!$B:$I,3,FALSE),""))</f>
        <v/>
      </c>
      <c r="D58" s="22">
        <f>IF($A58="","",IFERROR(VLOOKUP($A58,Artikelstamm!$B:$I,4,FALSE),""))</f>
        <v/>
      </c>
      <c r="E58" s="21">
        <f>IF($A58="","",IFERROR(VLOOKUP($A58,Artikelstamm!$B:$I,6,FALSE),""))</f>
        <v/>
      </c>
      <c r="F58" s="23" t="n"/>
      <c r="G58" s="21">
        <f>IF($A58="","",IF(COUNTIF(Artikelstamm!$B:$B,$A58)=0,"NEU – in Artikelstamm aufnehmen","OK"))</f>
        <v/>
      </c>
      <c r="H58" s="19" t="n"/>
    </row>
    <row r="59">
      <c r="A59" s="19" t="n"/>
      <c r="B59" s="21">
        <f>IF($A59="","",IFERROR(VLOOKUP($A59,Artikelstamm!$B:$I,2,FALSE),""))</f>
        <v/>
      </c>
      <c r="C59" s="21">
        <f>IF($A59="","",IFERROR(VLOOKUP($A59,Artikelstamm!$B:$I,3,FALSE),""))</f>
        <v/>
      </c>
      <c r="D59" s="22">
        <f>IF($A59="","",IFERROR(VLOOKUP($A59,Artikelstamm!$B:$I,4,FALSE),""))</f>
        <v/>
      </c>
      <c r="E59" s="21">
        <f>IF($A59="","",IFERROR(VLOOKUP($A59,Artikelstamm!$B:$I,6,FALSE),""))</f>
        <v/>
      </c>
      <c r="F59" s="23" t="n"/>
      <c r="G59" s="21">
        <f>IF($A59="","",IF(COUNTIF(Artikelstamm!$B:$B,$A59)=0,"NEU – in Artikelstamm aufnehmen","OK"))</f>
        <v/>
      </c>
      <c r="H59" s="19" t="n"/>
    </row>
    <row r="60">
      <c r="A60" s="19" t="n"/>
      <c r="B60" s="21">
        <f>IF($A60="","",IFERROR(VLOOKUP($A60,Artikelstamm!$B:$I,2,FALSE),""))</f>
        <v/>
      </c>
      <c r="C60" s="21">
        <f>IF($A60="","",IFERROR(VLOOKUP($A60,Artikelstamm!$B:$I,3,FALSE),""))</f>
        <v/>
      </c>
      <c r="D60" s="22">
        <f>IF($A60="","",IFERROR(VLOOKUP($A60,Artikelstamm!$B:$I,4,FALSE),""))</f>
        <v/>
      </c>
      <c r="E60" s="21">
        <f>IF($A60="","",IFERROR(VLOOKUP($A60,Artikelstamm!$B:$I,6,FALSE),""))</f>
        <v/>
      </c>
      <c r="F60" s="23" t="n"/>
      <c r="G60" s="21">
        <f>IF($A60="","",IF(COUNTIF(Artikelstamm!$B:$B,$A60)=0,"NEU – in Artikelstamm aufnehmen","OK"))</f>
        <v/>
      </c>
      <c r="H60" s="19" t="n"/>
    </row>
    <row r="61">
      <c r="A61" s="19" t="n"/>
      <c r="B61" s="21">
        <f>IF($A61="","",IFERROR(VLOOKUP($A61,Artikelstamm!$B:$I,2,FALSE),""))</f>
        <v/>
      </c>
      <c r="C61" s="21">
        <f>IF($A61="","",IFERROR(VLOOKUP($A61,Artikelstamm!$B:$I,3,FALSE),""))</f>
        <v/>
      </c>
      <c r="D61" s="22">
        <f>IF($A61="","",IFERROR(VLOOKUP($A61,Artikelstamm!$B:$I,4,FALSE),""))</f>
        <v/>
      </c>
      <c r="E61" s="21">
        <f>IF($A61="","",IFERROR(VLOOKUP($A61,Artikelstamm!$B:$I,6,FALSE),""))</f>
        <v/>
      </c>
      <c r="F61" s="23" t="n"/>
      <c r="G61" s="21">
        <f>IF($A61="","",IF(COUNTIF(Artikelstamm!$B:$B,$A61)=0,"NEU – in Artikelstamm aufnehmen","OK"))</f>
        <v/>
      </c>
      <c r="H61" s="19" t="n"/>
    </row>
    <row r="62">
      <c r="A62" s="19" t="n"/>
      <c r="B62" s="21">
        <f>IF($A62="","",IFERROR(VLOOKUP($A62,Artikelstamm!$B:$I,2,FALSE),""))</f>
        <v/>
      </c>
      <c r="C62" s="21">
        <f>IF($A62="","",IFERROR(VLOOKUP($A62,Artikelstamm!$B:$I,3,FALSE),""))</f>
        <v/>
      </c>
      <c r="D62" s="22">
        <f>IF($A62="","",IFERROR(VLOOKUP($A62,Artikelstamm!$B:$I,4,FALSE),""))</f>
        <v/>
      </c>
      <c r="E62" s="21">
        <f>IF($A62="","",IFERROR(VLOOKUP($A62,Artikelstamm!$B:$I,6,FALSE),""))</f>
        <v/>
      </c>
      <c r="F62" s="23" t="n"/>
      <c r="G62" s="21">
        <f>IF($A62="","",IF(COUNTIF(Artikelstamm!$B:$B,$A62)=0,"NEU – in Artikelstamm aufnehmen","OK"))</f>
        <v/>
      </c>
      <c r="H62" s="19" t="n"/>
    </row>
    <row r="63">
      <c r="A63" s="19" t="n"/>
      <c r="B63" s="21">
        <f>IF($A63="","",IFERROR(VLOOKUP($A63,Artikelstamm!$B:$I,2,FALSE),""))</f>
        <v/>
      </c>
      <c r="C63" s="21">
        <f>IF($A63="","",IFERROR(VLOOKUP($A63,Artikelstamm!$B:$I,3,FALSE),""))</f>
        <v/>
      </c>
      <c r="D63" s="22">
        <f>IF($A63="","",IFERROR(VLOOKUP($A63,Artikelstamm!$B:$I,4,FALSE),""))</f>
        <v/>
      </c>
      <c r="E63" s="21">
        <f>IF($A63="","",IFERROR(VLOOKUP($A63,Artikelstamm!$B:$I,6,FALSE),""))</f>
        <v/>
      </c>
      <c r="F63" s="23" t="n"/>
      <c r="G63" s="21">
        <f>IF($A63="","",IF(COUNTIF(Artikelstamm!$B:$B,$A63)=0,"NEU – in Artikelstamm aufnehmen","OK"))</f>
        <v/>
      </c>
      <c r="H63" s="19" t="n"/>
    </row>
    <row r="64">
      <c r="A64" s="19" t="n"/>
      <c r="B64" s="21">
        <f>IF($A64="","",IFERROR(VLOOKUP($A64,Artikelstamm!$B:$I,2,FALSE),""))</f>
        <v/>
      </c>
      <c r="C64" s="21">
        <f>IF($A64="","",IFERROR(VLOOKUP($A64,Artikelstamm!$B:$I,3,FALSE),""))</f>
        <v/>
      </c>
      <c r="D64" s="22">
        <f>IF($A64="","",IFERROR(VLOOKUP($A64,Artikelstamm!$B:$I,4,FALSE),""))</f>
        <v/>
      </c>
      <c r="E64" s="21">
        <f>IF($A64="","",IFERROR(VLOOKUP($A64,Artikelstamm!$B:$I,6,FALSE),""))</f>
        <v/>
      </c>
      <c r="F64" s="23" t="n"/>
      <c r="G64" s="21">
        <f>IF($A64="","",IF(COUNTIF(Artikelstamm!$B:$B,$A64)=0,"NEU – in Artikelstamm aufnehmen","OK"))</f>
        <v/>
      </c>
      <c r="H64" s="19" t="n"/>
    </row>
    <row r="65">
      <c r="A65" s="19" t="n"/>
      <c r="B65" s="21">
        <f>IF($A65="","",IFERROR(VLOOKUP($A65,Artikelstamm!$B:$I,2,FALSE),""))</f>
        <v/>
      </c>
      <c r="C65" s="21">
        <f>IF($A65="","",IFERROR(VLOOKUP($A65,Artikelstamm!$B:$I,3,FALSE),""))</f>
        <v/>
      </c>
      <c r="D65" s="22">
        <f>IF($A65="","",IFERROR(VLOOKUP($A65,Artikelstamm!$B:$I,4,FALSE),""))</f>
        <v/>
      </c>
      <c r="E65" s="21">
        <f>IF($A65="","",IFERROR(VLOOKUP($A65,Artikelstamm!$B:$I,6,FALSE),""))</f>
        <v/>
      </c>
      <c r="F65" s="23" t="n"/>
      <c r="G65" s="21">
        <f>IF($A65="","",IF(COUNTIF(Artikelstamm!$B:$B,$A65)=0,"NEU – in Artikelstamm aufnehmen","OK"))</f>
        <v/>
      </c>
      <c r="H65" s="19" t="n"/>
    </row>
    <row r="66">
      <c r="A66" s="19" t="n"/>
      <c r="B66" s="21">
        <f>IF($A66="","",IFERROR(VLOOKUP($A66,Artikelstamm!$B:$I,2,FALSE),""))</f>
        <v/>
      </c>
      <c r="C66" s="21">
        <f>IF($A66="","",IFERROR(VLOOKUP($A66,Artikelstamm!$B:$I,3,FALSE),""))</f>
        <v/>
      </c>
      <c r="D66" s="22">
        <f>IF($A66="","",IFERROR(VLOOKUP($A66,Artikelstamm!$B:$I,4,FALSE),""))</f>
        <v/>
      </c>
      <c r="E66" s="21">
        <f>IF($A66="","",IFERROR(VLOOKUP($A66,Artikelstamm!$B:$I,6,FALSE),""))</f>
        <v/>
      </c>
      <c r="F66" s="23" t="n"/>
      <c r="G66" s="21">
        <f>IF($A66="","",IF(COUNTIF(Artikelstamm!$B:$B,$A66)=0,"NEU – in Artikelstamm aufnehmen","OK"))</f>
        <v/>
      </c>
      <c r="H66" s="19" t="n"/>
    </row>
    <row r="67">
      <c r="A67" s="19" t="n"/>
      <c r="B67" s="21">
        <f>IF($A67="","",IFERROR(VLOOKUP($A67,Artikelstamm!$B:$I,2,FALSE),""))</f>
        <v/>
      </c>
      <c r="C67" s="21">
        <f>IF($A67="","",IFERROR(VLOOKUP($A67,Artikelstamm!$B:$I,3,FALSE),""))</f>
        <v/>
      </c>
      <c r="D67" s="22">
        <f>IF($A67="","",IFERROR(VLOOKUP($A67,Artikelstamm!$B:$I,4,FALSE),""))</f>
        <v/>
      </c>
      <c r="E67" s="21">
        <f>IF($A67="","",IFERROR(VLOOKUP($A67,Artikelstamm!$B:$I,6,FALSE),""))</f>
        <v/>
      </c>
      <c r="F67" s="23" t="n"/>
      <c r="G67" s="21">
        <f>IF($A67="","",IF(COUNTIF(Artikelstamm!$B:$B,$A67)=0,"NEU – in Artikelstamm aufnehmen","OK"))</f>
        <v/>
      </c>
      <c r="H67" s="19" t="n"/>
    </row>
    <row r="68">
      <c r="A68" s="19" t="n"/>
      <c r="B68" s="21">
        <f>IF($A68="","",IFERROR(VLOOKUP($A68,Artikelstamm!$B:$I,2,FALSE),""))</f>
        <v/>
      </c>
      <c r="C68" s="21">
        <f>IF($A68="","",IFERROR(VLOOKUP($A68,Artikelstamm!$B:$I,3,FALSE),""))</f>
        <v/>
      </c>
      <c r="D68" s="22">
        <f>IF($A68="","",IFERROR(VLOOKUP($A68,Artikelstamm!$B:$I,4,FALSE),""))</f>
        <v/>
      </c>
      <c r="E68" s="21">
        <f>IF($A68="","",IFERROR(VLOOKUP($A68,Artikelstamm!$B:$I,6,FALSE),""))</f>
        <v/>
      </c>
      <c r="F68" s="23" t="n"/>
      <c r="G68" s="21">
        <f>IF($A68="","",IF(COUNTIF(Artikelstamm!$B:$B,$A68)=0,"NEU – in Artikelstamm aufnehmen","OK"))</f>
        <v/>
      </c>
      <c r="H68" s="19" t="n"/>
    </row>
    <row r="69">
      <c r="A69" s="19" t="n"/>
      <c r="B69" s="21">
        <f>IF($A69="","",IFERROR(VLOOKUP($A69,Artikelstamm!$B:$I,2,FALSE),""))</f>
        <v/>
      </c>
      <c r="C69" s="21">
        <f>IF($A69="","",IFERROR(VLOOKUP($A69,Artikelstamm!$B:$I,3,FALSE),""))</f>
        <v/>
      </c>
      <c r="D69" s="22">
        <f>IF($A69="","",IFERROR(VLOOKUP($A69,Artikelstamm!$B:$I,4,FALSE),""))</f>
        <v/>
      </c>
      <c r="E69" s="21">
        <f>IF($A69="","",IFERROR(VLOOKUP($A69,Artikelstamm!$B:$I,6,FALSE),""))</f>
        <v/>
      </c>
      <c r="F69" s="23" t="n"/>
      <c r="G69" s="21">
        <f>IF($A69="","",IF(COUNTIF(Artikelstamm!$B:$B,$A69)=0,"NEU – in Artikelstamm aufnehmen","OK"))</f>
        <v/>
      </c>
      <c r="H69" s="19" t="n"/>
    </row>
    <row r="70">
      <c r="A70" s="19" t="n"/>
      <c r="B70" s="21">
        <f>IF($A70="","",IFERROR(VLOOKUP($A70,Artikelstamm!$B:$I,2,FALSE),""))</f>
        <v/>
      </c>
      <c r="C70" s="21">
        <f>IF($A70="","",IFERROR(VLOOKUP($A70,Artikelstamm!$B:$I,3,FALSE),""))</f>
        <v/>
      </c>
      <c r="D70" s="22">
        <f>IF($A70="","",IFERROR(VLOOKUP($A70,Artikelstamm!$B:$I,4,FALSE),""))</f>
        <v/>
      </c>
      <c r="E70" s="21">
        <f>IF($A70="","",IFERROR(VLOOKUP($A70,Artikelstamm!$B:$I,6,FALSE),""))</f>
        <v/>
      </c>
      <c r="F70" s="23" t="n"/>
      <c r="G70" s="21">
        <f>IF($A70="","",IF(COUNTIF(Artikelstamm!$B:$B,$A70)=0,"NEU – in Artikelstamm aufnehmen","OK"))</f>
        <v/>
      </c>
      <c r="H70" s="19" t="n"/>
    </row>
    <row r="71">
      <c r="A71" s="19" t="n"/>
      <c r="B71" s="21">
        <f>IF($A71="","",IFERROR(VLOOKUP($A71,Artikelstamm!$B:$I,2,FALSE),""))</f>
        <v/>
      </c>
      <c r="C71" s="21">
        <f>IF($A71="","",IFERROR(VLOOKUP($A71,Artikelstamm!$B:$I,3,FALSE),""))</f>
        <v/>
      </c>
      <c r="D71" s="22">
        <f>IF($A71="","",IFERROR(VLOOKUP($A71,Artikelstamm!$B:$I,4,FALSE),""))</f>
        <v/>
      </c>
      <c r="E71" s="21">
        <f>IF($A71="","",IFERROR(VLOOKUP($A71,Artikelstamm!$B:$I,6,FALSE),""))</f>
        <v/>
      </c>
      <c r="F71" s="23" t="n"/>
      <c r="G71" s="21">
        <f>IF($A71="","",IF(COUNTIF(Artikelstamm!$B:$B,$A71)=0,"NEU – in Artikelstamm aufnehmen","OK"))</f>
        <v/>
      </c>
      <c r="H71" s="19" t="n"/>
    </row>
    <row r="72">
      <c r="A72" s="19" t="n"/>
      <c r="B72" s="21">
        <f>IF($A72="","",IFERROR(VLOOKUP($A72,Artikelstamm!$B:$I,2,FALSE),""))</f>
        <v/>
      </c>
      <c r="C72" s="21">
        <f>IF($A72="","",IFERROR(VLOOKUP($A72,Artikelstamm!$B:$I,3,FALSE),""))</f>
        <v/>
      </c>
      <c r="D72" s="22">
        <f>IF($A72="","",IFERROR(VLOOKUP($A72,Artikelstamm!$B:$I,4,FALSE),""))</f>
        <v/>
      </c>
      <c r="E72" s="21">
        <f>IF($A72="","",IFERROR(VLOOKUP($A72,Artikelstamm!$B:$I,6,FALSE),""))</f>
        <v/>
      </c>
      <c r="F72" s="23" t="n"/>
      <c r="G72" s="21">
        <f>IF($A72="","",IF(COUNTIF(Artikelstamm!$B:$B,$A72)=0,"NEU – in Artikelstamm aufnehmen","OK"))</f>
        <v/>
      </c>
      <c r="H72" s="19" t="n"/>
    </row>
    <row r="73">
      <c r="A73" s="19" t="n"/>
      <c r="B73" s="21">
        <f>IF($A73="","",IFERROR(VLOOKUP($A73,Artikelstamm!$B:$I,2,FALSE),""))</f>
        <v/>
      </c>
      <c r="C73" s="21">
        <f>IF($A73="","",IFERROR(VLOOKUP($A73,Artikelstamm!$B:$I,3,FALSE),""))</f>
        <v/>
      </c>
      <c r="D73" s="22">
        <f>IF($A73="","",IFERROR(VLOOKUP($A73,Artikelstamm!$B:$I,4,FALSE),""))</f>
        <v/>
      </c>
      <c r="E73" s="21">
        <f>IF($A73="","",IFERROR(VLOOKUP($A73,Artikelstamm!$B:$I,6,FALSE),""))</f>
        <v/>
      </c>
      <c r="F73" s="23" t="n"/>
      <c r="G73" s="21">
        <f>IF($A73="","",IF(COUNTIF(Artikelstamm!$B:$B,$A73)=0,"NEU – in Artikelstamm aufnehmen","OK"))</f>
        <v/>
      </c>
      <c r="H73" s="19" t="n"/>
    </row>
    <row r="74">
      <c r="A74" s="19" t="n"/>
      <c r="B74" s="21">
        <f>IF($A74="","",IFERROR(VLOOKUP($A74,Artikelstamm!$B:$I,2,FALSE),""))</f>
        <v/>
      </c>
      <c r="C74" s="21">
        <f>IF($A74="","",IFERROR(VLOOKUP($A74,Artikelstamm!$B:$I,3,FALSE),""))</f>
        <v/>
      </c>
      <c r="D74" s="22">
        <f>IF($A74="","",IFERROR(VLOOKUP($A74,Artikelstamm!$B:$I,4,FALSE),""))</f>
        <v/>
      </c>
      <c r="E74" s="21">
        <f>IF($A74="","",IFERROR(VLOOKUP($A74,Artikelstamm!$B:$I,6,FALSE),""))</f>
        <v/>
      </c>
      <c r="F74" s="23" t="n"/>
      <c r="G74" s="21">
        <f>IF($A74="","",IF(COUNTIF(Artikelstamm!$B:$B,$A74)=0,"NEU – in Artikelstamm aufnehmen","OK"))</f>
        <v/>
      </c>
      <c r="H74" s="19" t="n"/>
    </row>
    <row r="75">
      <c r="A75" s="19" t="n"/>
      <c r="B75" s="21">
        <f>IF($A75="","",IFERROR(VLOOKUP($A75,Artikelstamm!$B:$I,2,FALSE),""))</f>
        <v/>
      </c>
      <c r="C75" s="21">
        <f>IF($A75="","",IFERROR(VLOOKUP($A75,Artikelstamm!$B:$I,3,FALSE),""))</f>
        <v/>
      </c>
      <c r="D75" s="22">
        <f>IF($A75="","",IFERROR(VLOOKUP($A75,Artikelstamm!$B:$I,4,FALSE),""))</f>
        <v/>
      </c>
      <c r="E75" s="21">
        <f>IF($A75="","",IFERROR(VLOOKUP($A75,Artikelstamm!$B:$I,6,FALSE),""))</f>
        <v/>
      </c>
      <c r="F75" s="23" t="n"/>
      <c r="G75" s="21">
        <f>IF($A75="","",IF(COUNTIF(Artikelstamm!$B:$B,$A75)=0,"NEU – in Artikelstamm aufnehmen","OK"))</f>
        <v/>
      </c>
      <c r="H75" s="19" t="n"/>
    </row>
    <row r="76">
      <c r="A76" s="19" t="n"/>
      <c r="B76" s="21">
        <f>IF($A76="","",IFERROR(VLOOKUP($A76,Artikelstamm!$B:$I,2,FALSE),""))</f>
        <v/>
      </c>
      <c r="C76" s="21">
        <f>IF($A76="","",IFERROR(VLOOKUP($A76,Artikelstamm!$B:$I,3,FALSE),""))</f>
        <v/>
      </c>
      <c r="D76" s="22">
        <f>IF($A76="","",IFERROR(VLOOKUP($A76,Artikelstamm!$B:$I,4,FALSE),""))</f>
        <v/>
      </c>
      <c r="E76" s="21">
        <f>IF($A76="","",IFERROR(VLOOKUP($A76,Artikelstamm!$B:$I,6,FALSE),""))</f>
        <v/>
      </c>
      <c r="F76" s="23" t="n"/>
      <c r="G76" s="21">
        <f>IF($A76="","",IF(COUNTIF(Artikelstamm!$B:$B,$A76)=0,"NEU – in Artikelstamm aufnehmen","OK"))</f>
        <v/>
      </c>
      <c r="H76" s="19" t="n"/>
    </row>
    <row r="77">
      <c r="A77" s="19" t="n"/>
      <c r="B77" s="21">
        <f>IF($A77="","",IFERROR(VLOOKUP($A77,Artikelstamm!$B:$I,2,FALSE),""))</f>
        <v/>
      </c>
      <c r="C77" s="21">
        <f>IF($A77="","",IFERROR(VLOOKUP($A77,Artikelstamm!$B:$I,3,FALSE),""))</f>
        <v/>
      </c>
      <c r="D77" s="22">
        <f>IF($A77="","",IFERROR(VLOOKUP($A77,Artikelstamm!$B:$I,4,FALSE),""))</f>
        <v/>
      </c>
      <c r="E77" s="21">
        <f>IF($A77="","",IFERROR(VLOOKUP($A77,Artikelstamm!$B:$I,6,FALSE),""))</f>
        <v/>
      </c>
      <c r="F77" s="23" t="n"/>
      <c r="G77" s="21">
        <f>IF($A77="","",IF(COUNTIF(Artikelstamm!$B:$B,$A77)=0,"NEU – in Artikelstamm aufnehmen","OK"))</f>
        <v/>
      </c>
      <c r="H77" s="19" t="n"/>
    </row>
    <row r="78">
      <c r="A78" s="19" t="n"/>
      <c r="B78" s="21">
        <f>IF($A78="","",IFERROR(VLOOKUP($A78,Artikelstamm!$B:$I,2,FALSE),""))</f>
        <v/>
      </c>
      <c r="C78" s="21">
        <f>IF($A78="","",IFERROR(VLOOKUP($A78,Artikelstamm!$B:$I,3,FALSE),""))</f>
        <v/>
      </c>
      <c r="D78" s="22">
        <f>IF($A78="","",IFERROR(VLOOKUP($A78,Artikelstamm!$B:$I,4,FALSE),""))</f>
        <v/>
      </c>
      <c r="E78" s="21">
        <f>IF($A78="","",IFERROR(VLOOKUP($A78,Artikelstamm!$B:$I,6,FALSE),""))</f>
        <v/>
      </c>
      <c r="F78" s="23" t="n"/>
      <c r="G78" s="21">
        <f>IF($A78="","",IF(COUNTIF(Artikelstamm!$B:$B,$A78)=0,"NEU – in Artikelstamm aufnehmen","OK"))</f>
        <v/>
      </c>
      <c r="H78" s="19" t="n"/>
    </row>
    <row r="79">
      <c r="A79" s="19" t="n"/>
      <c r="B79" s="21">
        <f>IF($A79="","",IFERROR(VLOOKUP($A79,Artikelstamm!$B:$I,2,FALSE),""))</f>
        <v/>
      </c>
      <c r="C79" s="21">
        <f>IF($A79="","",IFERROR(VLOOKUP($A79,Artikelstamm!$B:$I,3,FALSE),""))</f>
        <v/>
      </c>
      <c r="D79" s="22">
        <f>IF($A79="","",IFERROR(VLOOKUP($A79,Artikelstamm!$B:$I,4,FALSE),""))</f>
        <v/>
      </c>
      <c r="E79" s="21">
        <f>IF($A79="","",IFERROR(VLOOKUP($A79,Artikelstamm!$B:$I,6,FALSE),""))</f>
        <v/>
      </c>
      <c r="F79" s="23" t="n"/>
      <c r="G79" s="21">
        <f>IF($A79="","",IF(COUNTIF(Artikelstamm!$B:$B,$A79)=0,"NEU – in Artikelstamm aufnehmen","OK"))</f>
        <v/>
      </c>
      <c r="H79" s="19" t="n"/>
    </row>
    <row r="80">
      <c r="A80" s="19" t="n"/>
      <c r="B80" s="21">
        <f>IF($A80="","",IFERROR(VLOOKUP($A80,Artikelstamm!$B:$I,2,FALSE),""))</f>
        <v/>
      </c>
      <c r="C80" s="21">
        <f>IF($A80="","",IFERROR(VLOOKUP($A80,Artikelstamm!$B:$I,3,FALSE),""))</f>
        <v/>
      </c>
      <c r="D80" s="22">
        <f>IF($A80="","",IFERROR(VLOOKUP($A80,Artikelstamm!$B:$I,4,FALSE),""))</f>
        <v/>
      </c>
      <c r="E80" s="21">
        <f>IF($A80="","",IFERROR(VLOOKUP($A80,Artikelstamm!$B:$I,6,FALSE),""))</f>
        <v/>
      </c>
      <c r="F80" s="23" t="n"/>
      <c r="G80" s="21">
        <f>IF($A80="","",IF(COUNTIF(Artikelstamm!$B:$B,$A80)=0,"NEU – in Artikelstamm aufnehmen","OK"))</f>
        <v/>
      </c>
      <c r="H80" s="19" t="n"/>
    </row>
    <row r="81">
      <c r="A81" s="19" t="n"/>
      <c r="B81" s="21">
        <f>IF($A81="","",IFERROR(VLOOKUP($A81,Artikelstamm!$B:$I,2,FALSE),""))</f>
        <v/>
      </c>
      <c r="C81" s="21">
        <f>IF($A81="","",IFERROR(VLOOKUP($A81,Artikelstamm!$B:$I,3,FALSE),""))</f>
        <v/>
      </c>
      <c r="D81" s="22">
        <f>IF($A81="","",IFERROR(VLOOKUP($A81,Artikelstamm!$B:$I,4,FALSE),""))</f>
        <v/>
      </c>
      <c r="E81" s="21">
        <f>IF($A81="","",IFERROR(VLOOKUP($A81,Artikelstamm!$B:$I,6,FALSE),""))</f>
        <v/>
      </c>
      <c r="F81" s="23" t="n"/>
      <c r="G81" s="21">
        <f>IF($A81="","",IF(COUNTIF(Artikelstamm!$B:$B,$A81)=0,"NEU – in Artikelstamm aufnehmen","OK"))</f>
        <v/>
      </c>
      <c r="H81" s="19" t="n"/>
    </row>
    <row r="82">
      <c r="A82" s="19" t="n"/>
      <c r="B82" s="21">
        <f>IF($A82="","",IFERROR(VLOOKUP($A82,Artikelstamm!$B:$I,2,FALSE),""))</f>
        <v/>
      </c>
      <c r="C82" s="21">
        <f>IF($A82="","",IFERROR(VLOOKUP($A82,Artikelstamm!$B:$I,3,FALSE),""))</f>
        <v/>
      </c>
      <c r="D82" s="22">
        <f>IF($A82="","",IFERROR(VLOOKUP($A82,Artikelstamm!$B:$I,4,FALSE),""))</f>
        <v/>
      </c>
      <c r="E82" s="21">
        <f>IF($A82="","",IFERROR(VLOOKUP($A82,Artikelstamm!$B:$I,6,FALSE),""))</f>
        <v/>
      </c>
      <c r="F82" s="23" t="n"/>
      <c r="G82" s="21">
        <f>IF($A82="","",IF(COUNTIF(Artikelstamm!$B:$B,$A82)=0,"NEU – in Artikelstamm aufnehmen","OK"))</f>
        <v/>
      </c>
      <c r="H82" s="19" t="n"/>
    </row>
    <row r="83">
      <c r="A83" s="19" t="n"/>
      <c r="B83" s="21">
        <f>IF($A83="","",IFERROR(VLOOKUP($A83,Artikelstamm!$B:$I,2,FALSE),""))</f>
        <v/>
      </c>
      <c r="C83" s="21">
        <f>IF($A83="","",IFERROR(VLOOKUP($A83,Artikelstamm!$B:$I,3,FALSE),""))</f>
        <v/>
      </c>
      <c r="D83" s="22">
        <f>IF($A83="","",IFERROR(VLOOKUP($A83,Artikelstamm!$B:$I,4,FALSE),""))</f>
        <v/>
      </c>
      <c r="E83" s="21">
        <f>IF($A83="","",IFERROR(VLOOKUP($A83,Artikelstamm!$B:$I,6,FALSE),""))</f>
        <v/>
      </c>
      <c r="F83" s="23" t="n"/>
      <c r="G83" s="21">
        <f>IF($A83="","",IF(COUNTIF(Artikelstamm!$B:$B,$A83)=0,"NEU – in Artikelstamm aufnehmen","OK"))</f>
        <v/>
      </c>
      <c r="H83" s="19" t="n"/>
    </row>
    <row r="84">
      <c r="A84" s="19" t="n"/>
      <c r="B84" s="21">
        <f>IF($A84="","",IFERROR(VLOOKUP($A84,Artikelstamm!$B:$I,2,FALSE),""))</f>
        <v/>
      </c>
      <c r="C84" s="21">
        <f>IF($A84="","",IFERROR(VLOOKUP($A84,Artikelstamm!$B:$I,3,FALSE),""))</f>
        <v/>
      </c>
      <c r="D84" s="22">
        <f>IF($A84="","",IFERROR(VLOOKUP($A84,Artikelstamm!$B:$I,4,FALSE),""))</f>
        <v/>
      </c>
      <c r="E84" s="21">
        <f>IF($A84="","",IFERROR(VLOOKUP($A84,Artikelstamm!$B:$I,6,FALSE),""))</f>
        <v/>
      </c>
      <c r="F84" s="23" t="n"/>
      <c r="G84" s="21">
        <f>IF($A84="","",IF(COUNTIF(Artikelstamm!$B:$B,$A84)=0,"NEU – in Artikelstamm aufnehmen","OK"))</f>
        <v/>
      </c>
      <c r="H84" s="19" t="n"/>
    </row>
    <row r="85">
      <c r="A85" s="19" t="n"/>
      <c r="B85" s="21">
        <f>IF($A85="","",IFERROR(VLOOKUP($A85,Artikelstamm!$B:$I,2,FALSE),""))</f>
        <v/>
      </c>
      <c r="C85" s="21">
        <f>IF($A85="","",IFERROR(VLOOKUP($A85,Artikelstamm!$B:$I,3,FALSE),""))</f>
        <v/>
      </c>
      <c r="D85" s="22">
        <f>IF($A85="","",IFERROR(VLOOKUP($A85,Artikelstamm!$B:$I,4,FALSE),""))</f>
        <v/>
      </c>
      <c r="E85" s="21">
        <f>IF($A85="","",IFERROR(VLOOKUP($A85,Artikelstamm!$B:$I,6,FALSE),""))</f>
        <v/>
      </c>
      <c r="F85" s="23" t="n"/>
      <c r="G85" s="21">
        <f>IF($A85="","",IF(COUNTIF(Artikelstamm!$B:$B,$A85)=0,"NEU – in Artikelstamm aufnehmen","OK"))</f>
        <v/>
      </c>
      <c r="H85" s="19" t="n"/>
    </row>
    <row r="86">
      <c r="A86" s="19" t="n"/>
      <c r="B86" s="21">
        <f>IF($A86="","",IFERROR(VLOOKUP($A86,Artikelstamm!$B:$I,2,FALSE),""))</f>
        <v/>
      </c>
      <c r="C86" s="21">
        <f>IF($A86="","",IFERROR(VLOOKUP($A86,Artikelstamm!$B:$I,3,FALSE),""))</f>
        <v/>
      </c>
      <c r="D86" s="22">
        <f>IF($A86="","",IFERROR(VLOOKUP($A86,Artikelstamm!$B:$I,4,FALSE),""))</f>
        <v/>
      </c>
      <c r="E86" s="21">
        <f>IF($A86="","",IFERROR(VLOOKUP($A86,Artikelstamm!$B:$I,6,FALSE),""))</f>
        <v/>
      </c>
      <c r="F86" s="23" t="n"/>
      <c r="G86" s="21">
        <f>IF($A86="","",IF(COUNTIF(Artikelstamm!$B:$B,$A86)=0,"NEU – in Artikelstamm aufnehmen","OK"))</f>
        <v/>
      </c>
      <c r="H86" s="19" t="n"/>
    </row>
    <row r="87">
      <c r="A87" s="19" t="n"/>
      <c r="B87" s="21">
        <f>IF($A87="","",IFERROR(VLOOKUP($A87,Artikelstamm!$B:$I,2,FALSE),""))</f>
        <v/>
      </c>
      <c r="C87" s="21">
        <f>IF($A87="","",IFERROR(VLOOKUP($A87,Artikelstamm!$B:$I,3,FALSE),""))</f>
        <v/>
      </c>
      <c r="D87" s="22">
        <f>IF($A87="","",IFERROR(VLOOKUP($A87,Artikelstamm!$B:$I,4,FALSE),""))</f>
        <v/>
      </c>
      <c r="E87" s="21">
        <f>IF($A87="","",IFERROR(VLOOKUP($A87,Artikelstamm!$B:$I,6,FALSE),""))</f>
        <v/>
      </c>
      <c r="F87" s="23" t="n"/>
      <c r="G87" s="21">
        <f>IF($A87="","",IF(COUNTIF(Artikelstamm!$B:$B,$A87)=0,"NEU – in Artikelstamm aufnehmen","OK"))</f>
        <v/>
      </c>
      <c r="H87" s="19" t="n"/>
    </row>
    <row r="88">
      <c r="A88" s="19" t="n"/>
      <c r="B88" s="21">
        <f>IF($A88="","",IFERROR(VLOOKUP($A88,Artikelstamm!$B:$I,2,FALSE),""))</f>
        <v/>
      </c>
      <c r="C88" s="21">
        <f>IF($A88="","",IFERROR(VLOOKUP($A88,Artikelstamm!$B:$I,3,FALSE),""))</f>
        <v/>
      </c>
      <c r="D88" s="22">
        <f>IF($A88="","",IFERROR(VLOOKUP($A88,Artikelstamm!$B:$I,4,FALSE),""))</f>
        <v/>
      </c>
      <c r="E88" s="21">
        <f>IF($A88="","",IFERROR(VLOOKUP($A88,Artikelstamm!$B:$I,6,FALSE),""))</f>
        <v/>
      </c>
      <c r="F88" s="23" t="n"/>
      <c r="G88" s="21">
        <f>IF($A88="","",IF(COUNTIF(Artikelstamm!$B:$B,$A88)=0,"NEU – in Artikelstamm aufnehmen","OK"))</f>
        <v/>
      </c>
      <c r="H88" s="19" t="n"/>
    </row>
    <row r="89">
      <c r="A89" s="19" t="n"/>
      <c r="B89" s="21">
        <f>IF($A89="","",IFERROR(VLOOKUP($A89,Artikelstamm!$B:$I,2,FALSE),""))</f>
        <v/>
      </c>
      <c r="C89" s="21">
        <f>IF($A89="","",IFERROR(VLOOKUP($A89,Artikelstamm!$B:$I,3,FALSE),""))</f>
        <v/>
      </c>
      <c r="D89" s="22">
        <f>IF($A89="","",IFERROR(VLOOKUP($A89,Artikelstamm!$B:$I,4,FALSE),""))</f>
        <v/>
      </c>
      <c r="E89" s="21">
        <f>IF($A89="","",IFERROR(VLOOKUP($A89,Artikelstamm!$B:$I,6,FALSE),""))</f>
        <v/>
      </c>
      <c r="F89" s="23" t="n"/>
      <c r="G89" s="21">
        <f>IF($A89="","",IF(COUNTIF(Artikelstamm!$B:$B,$A89)=0,"NEU – in Artikelstamm aufnehmen","OK"))</f>
        <v/>
      </c>
      <c r="H89" s="19" t="n"/>
    </row>
    <row r="90">
      <c r="A90" s="19" t="n"/>
      <c r="B90" s="21">
        <f>IF($A90="","",IFERROR(VLOOKUP($A90,Artikelstamm!$B:$I,2,FALSE),""))</f>
        <v/>
      </c>
      <c r="C90" s="21">
        <f>IF($A90="","",IFERROR(VLOOKUP($A90,Artikelstamm!$B:$I,3,FALSE),""))</f>
        <v/>
      </c>
      <c r="D90" s="22">
        <f>IF($A90="","",IFERROR(VLOOKUP($A90,Artikelstamm!$B:$I,4,FALSE),""))</f>
        <v/>
      </c>
      <c r="E90" s="21">
        <f>IF($A90="","",IFERROR(VLOOKUP($A90,Artikelstamm!$B:$I,6,FALSE),""))</f>
        <v/>
      </c>
      <c r="F90" s="23" t="n"/>
      <c r="G90" s="21">
        <f>IF($A90="","",IF(COUNTIF(Artikelstamm!$B:$B,$A90)=0,"NEU – in Artikelstamm aufnehmen","OK"))</f>
        <v/>
      </c>
      <c r="H90" s="19" t="n"/>
    </row>
    <row r="91">
      <c r="A91" s="19" t="n"/>
      <c r="B91" s="21">
        <f>IF($A91="","",IFERROR(VLOOKUP($A91,Artikelstamm!$B:$I,2,FALSE),""))</f>
        <v/>
      </c>
      <c r="C91" s="21">
        <f>IF($A91="","",IFERROR(VLOOKUP($A91,Artikelstamm!$B:$I,3,FALSE),""))</f>
        <v/>
      </c>
      <c r="D91" s="22">
        <f>IF($A91="","",IFERROR(VLOOKUP($A91,Artikelstamm!$B:$I,4,FALSE),""))</f>
        <v/>
      </c>
      <c r="E91" s="21">
        <f>IF($A91="","",IFERROR(VLOOKUP($A91,Artikelstamm!$B:$I,6,FALSE),""))</f>
        <v/>
      </c>
      <c r="F91" s="23" t="n"/>
      <c r="G91" s="21">
        <f>IF($A91="","",IF(COUNTIF(Artikelstamm!$B:$B,$A91)=0,"NEU – in Artikelstamm aufnehmen","OK"))</f>
        <v/>
      </c>
      <c r="H91" s="19" t="n"/>
    </row>
    <row r="92">
      <c r="A92" s="19" t="n"/>
      <c r="B92" s="21">
        <f>IF($A92="","",IFERROR(VLOOKUP($A92,Artikelstamm!$B:$I,2,FALSE),""))</f>
        <v/>
      </c>
      <c r="C92" s="21">
        <f>IF($A92="","",IFERROR(VLOOKUP($A92,Artikelstamm!$B:$I,3,FALSE),""))</f>
        <v/>
      </c>
      <c r="D92" s="22">
        <f>IF($A92="","",IFERROR(VLOOKUP($A92,Artikelstamm!$B:$I,4,FALSE),""))</f>
        <v/>
      </c>
      <c r="E92" s="21">
        <f>IF($A92="","",IFERROR(VLOOKUP($A92,Artikelstamm!$B:$I,6,FALSE),""))</f>
        <v/>
      </c>
      <c r="F92" s="23" t="n"/>
      <c r="G92" s="21">
        <f>IF($A92="","",IF(COUNTIF(Artikelstamm!$B:$B,$A92)=0,"NEU – in Artikelstamm aufnehmen","OK"))</f>
        <v/>
      </c>
      <c r="H92" s="19" t="n"/>
    </row>
    <row r="93">
      <c r="A93" s="19" t="n"/>
      <c r="B93" s="21">
        <f>IF($A93="","",IFERROR(VLOOKUP($A93,Artikelstamm!$B:$I,2,FALSE),""))</f>
        <v/>
      </c>
      <c r="C93" s="21">
        <f>IF($A93="","",IFERROR(VLOOKUP($A93,Artikelstamm!$B:$I,3,FALSE),""))</f>
        <v/>
      </c>
      <c r="D93" s="22">
        <f>IF($A93="","",IFERROR(VLOOKUP($A93,Artikelstamm!$B:$I,4,FALSE),""))</f>
        <v/>
      </c>
      <c r="E93" s="21">
        <f>IF($A93="","",IFERROR(VLOOKUP($A93,Artikelstamm!$B:$I,6,FALSE),""))</f>
        <v/>
      </c>
      <c r="F93" s="23" t="n"/>
      <c r="G93" s="21">
        <f>IF($A93="","",IF(COUNTIF(Artikelstamm!$B:$B,$A93)=0,"NEU – in Artikelstamm aufnehmen","OK"))</f>
        <v/>
      </c>
      <c r="H93" s="19" t="n"/>
    </row>
    <row r="94">
      <c r="A94" s="19" t="n"/>
      <c r="B94" s="21">
        <f>IF($A94="","",IFERROR(VLOOKUP($A94,Artikelstamm!$B:$I,2,FALSE),""))</f>
        <v/>
      </c>
      <c r="C94" s="21">
        <f>IF($A94="","",IFERROR(VLOOKUP($A94,Artikelstamm!$B:$I,3,FALSE),""))</f>
        <v/>
      </c>
      <c r="D94" s="22">
        <f>IF($A94="","",IFERROR(VLOOKUP($A94,Artikelstamm!$B:$I,4,FALSE),""))</f>
        <v/>
      </c>
      <c r="E94" s="21">
        <f>IF($A94="","",IFERROR(VLOOKUP($A94,Artikelstamm!$B:$I,6,FALSE),""))</f>
        <v/>
      </c>
      <c r="F94" s="23" t="n"/>
      <c r="G94" s="21">
        <f>IF($A94="","",IF(COUNTIF(Artikelstamm!$B:$B,$A94)=0,"NEU – in Artikelstamm aufnehmen","OK"))</f>
        <v/>
      </c>
      <c r="H94" s="19" t="n"/>
    </row>
    <row r="95">
      <c r="A95" s="19" t="n"/>
      <c r="B95" s="21">
        <f>IF($A95="","",IFERROR(VLOOKUP($A95,Artikelstamm!$B:$I,2,FALSE),""))</f>
        <v/>
      </c>
      <c r="C95" s="21">
        <f>IF($A95="","",IFERROR(VLOOKUP($A95,Artikelstamm!$B:$I,3,FALSE),""))</f>
        <v/>
      </c>
      <c r="D95" s="22">
        <f>IF($A95="","",IFERROR(VLOOKUP($A95,Artikelstamm!$B:$I,4,FALSE),""))</f>
        <v/>
      </c>
      <c r="E95" s="21">
        <f>IF($A95="","",IFERROR(VLOOKUP($A95,Artikelstamm!$B:$I,6,FALSE),""))</f>
        <v/>
      </c>
      <c r="F95" s="23" t="n"/>
      <c r="G95" s="21">
        <f>IF($A95="","",IF(COUNTIF(Artikelstamm!$B:$B,$A95)=0,"NEU – in Artikelstamm aufnehmen","OK"))</f>
        <v/>
      </c>
      <c r="H95" s="19" t="n"/>
    </row>
    <row r="96">
      <c r="A96" s="19" t="n"/>
      <c r="B96" s="21">
        <f>IF($A96="","",IFERROR(VLOOKUP($A96,Artikelstamm!$B:$I,2,FALSE),""))</f>
        <v/>
      </c>
      <c r="C96" s="21">
        <f>IF($A96="","",IFERROR(VLOOKUP($A96,Artikelstamm!$B:$I,3,FALSE),""))</f>
        <v/>
      </c>
      <c r="D96" s="22">
        <f>IF($A96="","",IFERROR(VLOOKUP($A96,Artikelstamm!$B:$I,4,FALSE),""))</f>
        <v/>
      </c>
      <c r="E96" s="21">
        <f>IF($A96="","",IFERROR(VLOOKUP($A96,Artikelstamm!$B:$I,6,FALSE),""))</f>
        <v/>
      </c>
      <c r="F96" s="23" t="n"/>
      <c r="G96" s="21">
        <f>IF($A96="","",IF(COUNTIF(Artikelstamm!$B:$B,$A96)=0,"NEU – in Artikelstamm aufnehmen","OK"))</f>
        <v/>
      </c>
      <c r="H96" s="19" t="n"/>
    </row>
    <row r="97">
      <c r="A97" s="19" t="n"/>
      <c r="B97" s="21">
        <f>IF($A97="","",IFERROR(VLOOKUP($A97,Artikelstamm!$B:$I,2,FALSE),""))</f>
        <v/>
      </c>
      <c r="C97" s="21">
        <f>IF($A97="","",IFERROR(VLOOKUP($A97,Artikelstamm!$B:$I,3,FALSE),""))</f>
        <v/>
      </c>
      <c r="D97" s="22">
        <f>IF($A97="","",IFERROR(VLOOKUP($A97,Artikelstamm!$B:$I,4,FALSE),""))</f>
        <v/>
      </c>
      <c r="E97" s="21">
        <f>IF($A97="","",IFERROR(VLOOKUP($A97,Artikelstamm!$B:$I,6,FALSE),""))</f>
        <v/>
      </c>
      <c r="F97" s="23" t="n"/>
      <c r="G97" s="21">
        <f>IF($A97="","",IF(COUNTIF(Artikelstamm!$B:$B,$A97)=0,"NEU – in Artikelstamm aufnehmen","OK"))</f>
        <v/>
      </c>
      <c r="H97" s="19" t="n"/>
    </row>
    <row r="98">
      <c r="A98" s="19" t="n"/>
      <c r="B98" s="21">
        <f>IF($A98="","",IFERROR(VLOOKUP($A98,Artikelstamm!$B:$I,2,FALSE),""))</f>
        <v/>
      </c>
      <c r="C98" s="21">
        <f>IF($A98="","",IFERROR(VLOOKUP($A98,Artikelstamm!$B:$I,3,FALSE),""))</f>
        <v/>
      </c>
      <c r="D98" s="22">
        <f>IF($A98="","",IFERROR(VLOOKUP($A98,Artikelstamm!$B:$I,4,FALSE),""))</f>
        <v/>
      </c>
      <c r="E98" s="21">
        <f>IF($A98="","",IFERROR(VLOOKUP($A98,Artikelstamm!$B:$I,6,FALSE),""))</f>
        <v/>
      </c>
      <c r="F98" s="23" t="n"/>
      <c r="G98" s="21">
        <f>IF($A98="","",IF(COUNTIF(Artikelstamm!$B:$B,$A98)=0,"NEU – in Artikelstamm aufnehmen","OK"))</f>
        <v/>
      </c>
      <c r="H98" s="19" t="n"/>
    </row>
    <row r="99">
      <c r="A99" s="19" t="n"/>
      <c r="B99" s="21">
        <f>IF($A99="","",IFERROR(VLOOKUP($A99,Artikelstamm!$B:$I,2,FALSE),""))</f>
        <v/>
      </c>
      <c r="C99" s="21">
        <f>IF($A99="","",IFERROR(VLOOKUP($A99,Artikelstamm!$B:$I,3,FALSE),""))</f>
        <v/>
      </c>
      <c r="D99" s="22">
        <f>IF($A99="","",IFERROR(VLOOKUP($A99,Artikelstamm!$B:$I,4,FALSE),""))</f>
        <v/>
      </c>
      <c r="E99" s="21">
        <f>IF($A99="","",IFERROR(VLOOKUP($A99,Artikelstamm!$B:$I,6,FALSE),""))</f>
        <v/>
      </c>
      <c r="F99" s="23" t="n"/>
      <c r="G99" s="21">
        <f>IF($A99="","",IF(COUNTIF(Artikelstamm!$B:$B,$A99)=0,"NEU – in Artikelstamm aufnehmen","OK"))</f>
        <v/>
      </c>
      <c r="H99" s="19" t="n"/>
    </row>
    <row r="100">
      <c r="A100" s="19" t="n"/>
      <c r="B100" s="21">
        <f>IF($A100="","",IFERROR(VLOOKUP($A100,Artikelstamm!$B:$I,2,FALSE),""))</f>
        <v/>
      </c>
      <c r="C100" s="21">
        <f>IF($A100="","",IFERROR(VLOOKUP($A100,Artikelstamm!$B:$I,3,FALSE),""))</f>
        <v/>
      </c>
      <c r="D100" s="22">
        <f>IF($A100="","",IFERROR(VLOOKUP($A100,Artikelstamm!$B:$I,4,FALSE),""))</f>
        <v/>
      </c>
      <c r="E100" s="21">
        <f>IF($A100="","",IFERROR(VLOOKUP($A100,Artikelstamm!$B:$I,6,FALSE),""))</f>
        <v/>
      </c>
      <c r="F100" s="23" t="n"/>
      <c r="G100" s="21">
        <f>IF($A100="","",IF(COUNTIF(Artikelstamm!$B:$B,$A100)=0,"NEU – in Artikelstamm aufnehmen","OK"))</f>
        <v/>
      </c>
      <c r="H100" s="19" t="n"/>
    </row>
    <row r="101">
      <c r="A101" s="19" t="n"/>
      <c r="B101" s="21">
        <f>IF($A101="","",IFERROR(VLOOKUP($A101,Artikelstamm!$B:$I,2,FALSE),""))</f>
        <v/>
      </c>
      <c r="C101" s="21">
        <f>IF($A101="","",IFERROR(VLOOKUP($A101,Artikelstamm!$B:$I,3,FALSE),""))</f>
        <v/>
      </c>
      <c r="D101" s="22">
        <f>IF($A101="","",IFERROR(VLOOKUP($A101,Artikelstamm!$B:$I,4,FALSE),""))</f>
        <v/>
      </c>
      <c r="E101" s="21">
        <f>IF($A101="","",IFERROR(VLOOKUP($A101,Artikelstamm!$B:$I,6,FALSE),""))</f>
        <v/>
      </c>
      <c r="F101" s="23" t="n"/>
      <c r="G101" s="21">
        <f>IF($A101="","",IF(COUNTIF(Artikelstamm!$B:$B,$A101)=0,"NEU – in Artikelstamm aufnehmen","OK"))</f>
        <v/>
      </c>
      <c r="H101" s="19" t="n"/>
    </row>
    <row r="102">
      <c r="A102" s="19" t="n"/>
      <c r="B102" s="21">
        <f>IF($A102="","",IFERROR(VLOOKUP($A102,Artikelstamm!$B:$I,2,FALSE),""))</f>
        <v/>
      </c>
      <c r="C102" s="21">
        <f>IF($A102="","",IFERROR(VLOOKUP($A102,Artikelstamm!$B:$I,3,FALSE),""))</f>
        <v/>
      </c>
      <c r="D102" s="22">
        <f>IF($A102="","",IFERROR(VLOOKUP($A102,Artikelstamm!$B:$I,4,FALSE),""))</f>
        <v/>
      </c>
      <c r="E102" s="21">
        <f>IF($A102="","",IFERROR(VLOOKUP($A102,Artikelstamm!$B:$I,6,FALSE),""))</f>
        <v/>
      </c>
      <c r="F102" s="23" t="n"/>
      <c r="G102" s="21">
        <f>IF($A102="","",IF(COUNTIF(Artikelstamm!$B:$B,$A102)=0,"NEU – in Artikelstamm aufnehmen","OK"))</f>
        <v/>
      </c>
      <c r="H102" s="19" t="n"/>
    </row>
    <row r="103">
      <c r="A103" s="19" t="n"/>
      <c r="B103" s="21">
        <f>IF($A103="","",IFERROR(VLOOKUP($A103,Artikelstamm!$B:$I,2,FALSE),""))</f>
        <v/>
      </c>
      <c r="C103" s="21">
        <f>IF($A103="","",IFERROR(VLOOKUP($A103,Artikelstamm!$B:$I,3,FALSE),""))</f>
        <v/>
      </c>
      <c r="D103" s="22">
        <f>IF($A103="","",IFERROR(VLOOKUP($A103,Artikelstamm!$B:$I,4,FALSE),""))</f>
        <v/>
      </c>
      <c r="E103" s="21">
        <f>IF($A103="","",IFERROR(VLOOKUP($A103,Artikelstamm!$B:$I,6,FALSE),""))</f>
        <v/>
      </c>
      <c r="F103" s="23" t="n"/>
      <c r="G103" s="21">
        <f>IF($A103="","",IF(COUNTIF(Artikelstamm!$B:$B,$A103)=0,"NEU – in Artikelstamm aufnehmen","OK"))</f>
        <v/>
      </c>
      <c r="H103" s="19" t="n"/>
    </row>
    <row r="104">
      <c r="A104" s="19" t="n"/>
      <c r="B104" s="21">
        <f>IF($A104="","",IFERROR(VLOOKUP($A104,Artikelstamm!$B:$I,2,FALSE),""))</f>
        <v/>
      </c>
      <c r="C104" s="21">
        <f>IF($A104="","",IFERROR(VLOOKUP($A104,Artikelstamm!$B:$I,3,FALSE),""))</f>
        <v/>
      </c>
      <c r="D104" s="22">
        <f>IF($A104="","",IFERROR(VLOOKUP($A104,Artikelstamm!$B:$I,4,FALSE),""))</f>
        <v/>
      </c>
      <c r="E104" s="21">
        <f>IF($A104="","",IFERROR(VLOOKUP($A104,Artikelstamm!$B:$I,6,FALSE),""))</f>
        <v/>
      </c>
      <c r="F104" s="23" t="n"/>
      <c r="G104" s="21">
        <f>IF($A104="","",IF(COUNTIF(Artikelstamm!$B:$B,$A104)=0,"NEU – in Artikelstamm aufnehmen","OK"))</f>
        <v/>
      </c>
      <c r="H104" s="19" t="n"/>
    </row>
    <row r="105">
      <c r="A105" s="19" t="n"/>
      <c r="B105" s="21">
        <f>IF($A105="","",IFERROR(VLOOKUP($A105,Artikelstamm!$B:$I,2,FALSE),""))</f>
        <v/>
      </c>
      <c r="C105" s="21">
        <f>IF($A105="","",IFERROR(VLOOKUP($A105,Artikelstamm!$B:$I,3,FALSE),""))</f>
        <v/>
      </c>
      <c r="D105" s="22">
        <f>IF($A105="","",IFERROR(VLOOKUP($A105,Artikelstamm!$B:$I,4,FALSE),""))</f>
        <v/>
      </c>
      <c r="E105" s="21">
        <f>IF($A105="","",IFERROR(VLOOKUP($A105,Artikelstamm!$B:$I,6,FALSE),""))</f>
        <v/>
      </c>
      <c r="F105" s="23" t="n"/>
      <c r="G105" s="21">
        <f>IF($A105="","",IF(COUNTIF(Artikelstamm!$B:$B,$A105)=0,"NEU – in Artikelstamm aufnehmen","OK"))</f>
        <v/>
      </c>
      <c r="H105" s="19" t="n"/>
    </row>
    <row r="106">
      <c r="A106" s="19" t="n"/>
      <c r="B106" s="21">
        <f>IF($A106="","",IFERROR(VLOOKUP($A106,Artikelstamm!$B:$I,2,FALSE),""))</f>
        <v/>
      </c>
      <c r="C106" s="21">
        <f>IF($A106="","",IFERROR(VLOOKUP($A106,Artikelstamm!$B:$I,3,FALSE),""))</f>
        <v/>
      </c>
      <c r="D106" s="22">
        <f>IF($A106="","",IFERROR(VLOOKUP($A106,Artikelstamm!$B:$I,4,FALSE),""))</f>
        <v/>
      </c>
      <c r="E106" s="21">
        <f>IF($A106="","",IFERROR(VLOOKUP($A106,Artikelstamm!$B:$I,6,FALSE),""))</f>
        <v/>
      </c>
      <c r="F106" s="23" t="n"/>
      <c r="G106" s="21">
        <f>IF($A106="","",IF(COUNTIF(Artikelstamm!$B:$B,$A106)=0,"NEU – in Artikelstamm aufnehmen","OK"))</f>
        <v/>
      </c>
      <c r="H106" s="19" t="n"/>
    </row>
    <row r="107">
      <c r="A107" s="19" t="n"/>
      <c r="B107" s="21">
        <f>IF($A107="","",IFERROR(VLOOKUP($A107,Artikelstamm!$B:$I,2,FALSE),""))</f>
        <v/>
      </c>
      <c r="C107" s="21">
        <f>IF($A107="","",IFERROR(VLOOKUP($A107,Artikelstamm!$B:$I,3,FALSE),""))</f>
        <v/>
      </c>
      <c r="D107" s="22">
        <f>IF($A107="","",IFERROR(VLOOKUP($A107,Artikelstamm!$B:$I,4,FALSE),""))</f>
        <v/>
      </c>
      <c r="E107" s="21">
        <f>IF($A107="","",IFERROR(VLOOKUP($A107,Artikelstamm!$B:$I,6,FALSE),""))</f>
        <v/>
      </c>
      <c r="F107" s="23" t="n"/>
      <c r="G107" s="21">
        <f>IF($A107="","",IF(COUNTIF(Artikelstamm!$B:$B,$A107)=0,"NEU – in Artikelstamm aufnehmen","OK"))</f>
        <v/>
      </c>
      <c r="H107" s="19" t="n"/>
    </row>
    <row r="108">
      <c r="A108" s="19" t="n"/>
      <c r="B108" s="21">
        <f>IF($A108="","",IFERROR(VLOOKUP($A108,Artikelstamm!$B:$I,2,FALSE),""))</f>
        <v/>
      </c>
      <c r="C108" s="21">
        <f>IF($A108="","",IFERROR(VLOOKUP($A108,Artikelstamm!$B:$I,3,FALSE),""))</f>
        <v/>
      </c>
      <c r="D108" s="22">
        <f>IF($A108="","",IFERROR(VLOOKUP($A108,Artikelstamm!$B:$I,4,FALSE),""))</f>
        <v/>
      </c>
      <c r="E108" s="21">
        <f>IF($A108="","",IFERROR(VLOOKUP($A108,Artikelstamm!$B:$I,6,FALSE),""))</f>
        <v/>
      </c>
      <c r="F108" s="23" t="n"/>
      <c r="G108" s="21">
        <f>IF($A108="","",IF(COUNTIF(Artikelstamm!$B:$B,$A108)=0,"NEU – in Artikelstamm aufnehmen","OK"))</f>
        <v/>
      </c>
      <c r="H108" s="19" t="n"/>
    </row>
    <row r="109">
      <c r="A109" s="19" t="n"/>
      <c r="B109" s="21">
        <f>IF($A109="","",IFERROR(VLOOKUP($A109,Artikelstamm!$B:$I,2,FALSE),""))</f>
        <v/>
      </c>
      <c r="C109" s="21">
        <f>IF($A109="","",IFERROR(VLOOKUP($A109,Artikelstamm!$B:$I,3,FALSE),""))</f>
        <v/>
      </c>
      <c r="D109" s="22">
        <f>IF($A109="","",IFERROR(VLOOKUP($A109,Artikelstamm!$B:$I,4,FALSE),""))</f>
        <v/>
      </c>
      <c r="E109" s="21">
        <f>IF($A109="","",IFERROR(VLOOKUP($A109,Artikelstamm!$B:$I,6,FALSE),""))</f>
        <v/>
      </c>
      <c r="F109" s="23" t="n"/>
      <c r="G109" s="21">
        <f>IF($A109="","",IF(COUNTIF(Artikelstamm!$B:$B,$A109)=0,"NEU – in Artikelstamm aufnehmen","OK"))</f>
        <v/>
      </c>
      <c r="H109" s="19" t="n"/>
    </row>
    <row r="110">
      <c r="A110" s="19" t="n"/>
      <c r="B110" s="21">
        <f>IF($A110="","",IFERROR(VLOOKUP($A110,Artikelstamm!$B:$I,2,FALSE),""))</f>
        <v/>
      </c>
      <c r="C110" s="21">
        <f>IF($A110="","",IFERROR(VLOOKUP($A110,Artikelstamm!$B:$I,3,FALSE),""))</f>
        <v/>
      </c>
      <c r="D110" s="22">
        <f>IF($A110="","",IFERROR(VLOOKUP($A110,Artikelstamm!$B:$I,4,FALSE),""))</f>
        <v/>
      </c>
      <c r="E110" s="21">
        <f>IF($A110="","",IFERROR(VLOOKUP($A110,Artikelstamm!$B:$I,6,FALSE),""))</f>
        <v/>
      </c>
      <c r="F110" s="23" t="n"/>
      <c r="G110" s="21">
        <f>IF($A110="","",IF(COUNTIF(Artikelstamm!$B:$B,$A110)=0,"NEU – in Artikelstamm aufnehmen","OK"))</f>
        <v/>
      </c>
      <c r="H110" s="19" t="n"/>
    </row>
    <row r="111">
      <c r="A111" s="19" t="n"/>
      <c r="B111" s="21">
        <f>IF($A111="","",IFERROR(VLOOKUP($A111,Artikelstamm!$B:$I,2,FALSE),""))</f>
        <v/>
      </c>
      <c r="C111" s="21">
        <f>IF($A111="","",IFERROR(VLOOKUP($A111,Artikelstamm!$B:$I,3,FALSE),""))</f>
        <v/>
      </c>
      <c r="D111" s="22">
        <f>IF($A111="","",IFERROR(VLOOKUP($A111,Artikelstamm!$B:$I,4,FALSE),""))</f>
        <v/>
      </c>
      <c r="E111" s="21">
        <f>IF($A111="","",IFERROR(VLOOKUP($A111,Artikelstamm!$B:$I,6,FALSE),""))</f>
        <v/>
      </c>
      <c r="F111" s="23" t="n"/>
      <c r="G111" s="21">
        <f>IF($A111="","",IF(COUNTIF(Artikelstamm!$B:$B,$A111)=0,"NEU – in Artikelstamm aufnehmen","OK"))</f>
        <v/>
      </c>
      <c r="H111" s="19" t="n"/>
    </row>
    <row r="112">
      <c r="A112" s="19" t="n"/>
      <c r="B112" s="21">
        <f>IF($A112="","",IFERROR(VLOOKUP($A112,Artikelstamm!$B:$I,2,FALSE),""))</f>
        <v/>
      </c>
      <c r="C112" s="21">
        <f>IF($A112="","",IFERROR(VLOOKUP($A112,Artikelstamm!$B:$I,3,FALSE),""))</f>
        <v/>
      </c>
      <c r="D112" s="22">
        <f>IF($A112="","",IFERROR(VLOOKUP($A112,Artikelstamm!$B:$I,4,FALSE),""))</f>
        <v/>
      </c>
      <c r="E112" s="21">
        <f>IF($A112="","",IFERROR(VLOOKUP($A112,Artikelstamm!$B:$I,6,FALSE),""))</f>
        <v/>
      </c>
      <c r="F112" s="23" t="n"/>
      <c r="G112" s="21">
        <f>IF($A112="","",IF(COUNTIF(Artikelstamm!$B:$B,$A112)=0,"NEU – in Artikelstamm aufnehmen","OK"))</f>
        <v/>
      </c>
      <c r="H112" s="19" t="n"/>
    </row>
    <row r="113">
      <c r="A113" s="19" t="n"/>
      <c r="B113" s="21">
        <f>IF($A113="","",IFERROR(VLOOKUP($A113,Artikelstamm!$B:$I,2,FALSE),""))</f>
        <v/>
      </c>
      <c r="C113" s="21">
        <f>IF($A113="","",IFERROR(VLOOKUP($A113,Artikelstamm!$B:$I,3,FALSE),""))</f>
        <v/>
      </c>
      <c r="D113" s="22">
        <f>IF($A113="","",IFERROR(VLOOKUP($A113,Artikelstamm!$B:$I,4,FALSE),""))</f>
        <v/>
      </c>
      <c r="E113" s="21">
        <f>IF($A113="","",IFERROR(VLOOKUP($A113,Artikelstamm!$B:$I,6,FALSE),""))</f>
        <v/>
      </c>
      <c r="F113" s="23" t="n"/>
      <c r="G113" s="21">
        <f>IF($A113="","",IF(COUNTIF(Artikelstamm!$B:$B,$A113)=0,"NEU – in Artikelstamm aufnehmen","OK"))</f>
        <v/>
      </c>
      <c r="H113" s="19" t="n"/>
    </row>
    <row r="114">
      <c r="A114" s="19" t="n"/>
      <c r="B114" s="21">
        <f>IF($A114="","",IFERROR(VLOOKUP($A114,Artikelstamm!$B:$I,2,FALSE),""))</f>
        <v/>
      </c>
      <c r="C114" s="21">
        <f>IF($A114="","",IFERROR(VLOOKUP($A114,Artikelstamm!$B:$I,3,FALSE),""))</f>
        <v/>
      </c>
      <c r="D114" s="22">
        <f>IF($A114="","",IFERROR(VLOOKUP($A114,Artikelstamm!$B:$I,4,FALSE),""))</f>
        <v/>
      </c>
      <c r="E114" s="21">
        <f>IF($A114="","",IFERROR(VLOOKUP($A114,Artikelstamm!$B:$I,6,FALSE),""))</f>
        <v/>
      </c>
      <c r="F114" s="23" t="n"/>
      <c r="G114" s="21">
        <f>IF($A114="","",IF(COUNTIF(Artikelstamm!$B:$B,$A114)=0,"NEU – in Artikelstamm aufnehmen","OK"))</f>
        <v/>
      </c>
      <c r="H114" s="19" t="n"/>
    </row>
    <row r="115">
      <c r="A115" s="19" t="n"/>
      <c r="B115" s="21">
        <f>IF($A115="","",IFERROR(VLOOKUP($A115,Artikelstamm!$B:$I,2,FALSE),""))</f>
        <v/>
      </c>
      <c r="C115" s="21">
        <f>IF($A115="","",IFERROR(VLOOKUP($A115,Artikelstamm!$B:$I,3,FALSE),""))</f>
        <v/>
      </c>
      <c r="D115" s="22">
        <f>IF($A115="","",IFERROR(VLOOKUP($A115,Artikelstamm!$B:$I,4,FALSE),""))</f>
        <v/>
      </c>
      <c r="E115" s="21">
        <f>IF($A115="","",IFERROR(VLOOKUP($A115,Artikelstamm!$B:$I,6,FALSE),""))</f>
        <v/>
      </c>
      <c r="F115" s="23" t="n"/>
      <c r="G115" s="21">
        <f>IF($A115="","",IF(COUNTIF(Artikelstamm!$B:$B,$A115)=0,"NEU – in Artikelstamm aufnehmen","OK"))</f>
        <v/>
      </c>
      <c r="H115" s="19" t="n"/>
    </row>
    <row r="116">
      <c r="A116" s="19" t="n"/>
      <c r="B116" s="21">
        <f>IF($A116="","",IFERROR(VLOOKUP($A116,Artikelstamm!$B:$I,2,FALSE),""))</f>
        <v/>
      </c>
      <c r="C116" s="21">
        <f>IF($A116="","",IFERROR(VLOOKUP($A116,Artikelstamm!$B:$I,3,FALSE),""))</f>
        <v/>
      </c>
      <c r="D116" s="22">
        <f>IF($A116="","",IFERROR(VLOOKUP($A116,Artikelstamm!$B:$I,4,FALSE),""))</f>
        <v/>
      </c>
      <c r="E116" s="21">
        <f>IF($A116="","",IFERROR(VLOOKUP($A116,Artikelstamm!$B:$I,6,FALSE),""))</f>
        <v/>
      </c>
      <c r="F116" s="23" t="n"/>
      <c r="G116" s="21">
        <f>IF($A116="","",IF(COUNTIF(Artikelstamm!$B:$B,$A116)=0,"NEU – in Artikelstamm aufnehmen","OK"))</f>
        <v/>
      </c>
      <c r="H116" s="19" t="n"/>
    </row>
    <row r="117">
      <c r="A117" s="19" t="n"/>
      <c r="B117" s="21">
        <f>IF($A117="","",IFERROR(VLOOKUP($A117,Artikelstamm!$B:$I,2,FALSE),""))</f>
        <v/>
      </c>
      <c r="C117" s="21">
        <f>IF($A117="","",IFERROR(VLOOKUP($A117,Artikelstamm!$B:$I,3,FALSE),""))</f>
        <v/>
      </c>
      <c r="D117" s="22">
        <f>IF($A117="","",IFERROR(VLOOKUP($A117,Artikelstamm!$B:$I,4,FALSE),""))</f>
        <v/>
      </c>
      <c r="E117" s="21">
        <f>IF($A117="","",IFERROR(VLOOKUP($A117,Artikelstamm!$B:$I,6,FALSE),""))</f>
        <v/>
      </c>
      <c r="F117" s="23" t="n"/>
      <c r="G117" s="21">
        <f>IF($A117="","",IF(COUNTIF(Artikelstamm!$B:$B,$A117)=0,"NEU – in Artikelstamm aufnehmen","OK"))</f>
        <v/>
      </c>
      <c r="H117" s="19" t="n"/>
    </row>
    <row r="118">
      <c r="A118" s="19" t="n"/>
      <c r="B118" s="21">
        <f>IF($A118="","",IFERROR(VLOOKUP($A118,Artikelstamm!$B:$I,2,FALSE),""))</f>
        <v/>
      </c>
      <c r="C118" s="21">
        <f>IF($A118="","",IFERROR(VLOOKUP($A118,Artikelstamm!$B:$I,3,FALSE),""))</f>
        <v/>
      </c>
      <c r="D118" s="22">
        <f>IF($A118="","",IFERROR(VLOOKUP($A118,Artikelstamm!$B:$I,4,FALSE),""))</f>
        <v/>
      </c>
      <c r="E118" s="21">
        <f>IF($A118="","",IFERROR(VLOOKUP($A118,Artikelstamm!$B:$I,6,FALSE),""))</f>
        <v/>
      </c>
      <c r="F118" s="23" t="n"/>
      <c r="G118" s="21">
        <f>IF($A118="","",IF(COUNTIF(Artikelstamm!$B:$B,$A118)=0,"NEU – in Artikelstamm aufnehmen","OK"))</f>
        <v/>
      </c>
      <c r="H118" s="19" t="n"/>
    </row>
    <row r="119">
      <c r="A119" s="19" t="n"/>
      <c r="B119" s="21">
        <f>IF($A119="","",IFERROR(VLOOKUP($A119,Artikelstamm!$B:$I,2,FALSE),""))</f>
        <v/>
      </c>
      <c r="C119" s="21">
        <f>IF($A119="","",IFERROR(VLOOKUP($A119,Artikelstamm!$B:$I,3,FALSE),""))</f>
        <v/>
      </c>
      <c r="D119" s="22">
        <f>IF($A119="","",IFERROR(VLOOKUP($A119,Artikelstamm!$B:$I,4,FALSE),""))</f>
        <v/>
      </c>
      <c r="E119" s="21">
        <f>IF($A119="","",IFERROR(VLOOKUP($A119,Artikelstamm!$B:$I,6,FALSE),""))</f>
        <v/>
      </c>
      <c r="F119" s="23" t="n"/>
      <c r="G119" s="21">
        <f>IF($A119="","",IF(COUNTIF(Artikelstamm!$B:$B,$A119)=0,"NEU – in Artikelstamm aufnehmen","OK"))</f>
        <v/>
      </c>
      <c r="H119" s="19" t="n"/>
    </row>
    <row r="120">
      <c r="A120" s="19" t="n"/>
      <c r="B120" s="21">
        <f>IF($A120="","",IFERROR(VLOOKUP($A120,Artikelstamm!$B:$I,2,FALSE),""))</f>
        <v/>
      </c>
      <c r="C120" s="21">
        <f>IF($A120="","",IFERROR(VLOOKUP($A120,Artikelstamm!$B:$I,3,FALSE),""))</f>
        <v/>
      </c>
      <c r="D120" s="22">
        <f>IF($A120="","",IFERROR(VLOOKUP($A120,Artikelstamm!$B:$I,4,FALSE),""))</f>
        <v/>
      </c>
      <c r="E120" s="21">
        <f>IF($A120="","",IFERROR(VLOOKUP($A120,Artikelstamm!$B:$I,6,FALSE),""))</f>
        <v/>
      </c>
      <c r="F120" s="23" t="n"/>
      <c r="G120" s="21">
        <f>IF($A120="","",IF(COUNTIF(Artikelstamm!$B:$B,$A120)=0,"NEU – in Artikelstamm aufnehmen","OK"))</f>
        <v/>
      </c>
      <c r="H120" s="19" t="n"/>
    </row>
    <row r="121">
      <c r="A121" s="19" t="n"/>
      <c r="B121" s="21">
        <f>IF($A121="","",IFERROR(VLOOKUP($A121,Artikelstamm!$B:$I,2,FALSE),""))</f>
        <v/>
      </c>
      <c r="C121" s="21">
        <f>IF($A121="","",IFERROR(VLOOKUP($A121,Artikelstamm!$B:$I,3,FALSE),""))</f>
        <v/>
      </c>
      <c r="D121" s="22">
        <f>IF($A121="","",IFERROR(VLOOKUP($A121,Artikelstamm!$B:$I,4,FALSE),""))</f>
        <v/>
      </c>
      <c r="E121" s="21">
        <f>IF($A121="","",IFERROR(VLOOKUP($A121,Artikelstamm!$B:$I,6,FALSE),""))</f>
        <v/>
      </c>
      <c r="F121" s="23" t="n"/>
      <c r="G121" s="21">
        <f>IF($A121="","",IF(COUNTIF(Artikelstamm!$B:$B,$A121)=0,"NEU – in Artikelstamm aufnehmen","OK"))</f>
        <v/>
      </c>
      <c r="H121" s="19" t="n"/>
    </row>
    <row r="122">
      <c r="A122" s="19" t="n"/>
      <c r="B122" s="21">
        <f>IF($A122="","",IFERROR(VLOOKUP($A122,Artikelstamm!$B:$I,2,FALSE),""))</f>
        <v/>
      </c>
      <c r="C122" s="21">
        <f>IF($A122="","",IFERROR(VLOOKUP($A122,Artikelstamm!$B:$I,3,FALSE),""))</f>
        <v/>
      </c>
      <c r="D122" s="22">
        <f>IF($A122="","",IFERROR(VLOOKUP($A122,Artikelstamm!$B:$I,4,FALSE),""))</f>
        <v/>
      </c>
      <c r="E122" s="21">
        <f>IF($A122="","",IFERROR(VLOOKUP($A122,Artikelstamm!$B:$I,6,FALSE),""))</f>
        <v/>
      </c>
      <c r="F122" s="23" t="n"/>
      <c r="G122" s="21">
        <f>IF($A122="","",IF(COUNTIF(Artikelstamm!$B:$B,$A122)=0,"NEU – in Artikelstamm aufnehmen","OK"))</f>
        <v/>
      </c>
      <c r="H122" s="19" t="n"/>
    </row>
    <row r="123">
      <c r="A123" s="19" t="n"/>
      <c r="B123" s="21">
        <f>IF($A123="","",IFERROR(VLOOKUP($A123,Artikelstamm!$B:$I,2,FALSE),""))</f>
        <v/>
      </c>
      <c r="C123" s="21">
        <f>IF($A123="","",IFERROR(VLOOKUP($A123,Artikelstamm!$B:$I,3,FALSE),""))</f>
        <v/>
      </c>
      <c r="D123" s="22">
        <f>IF($A123="","",IFERROR(VLOOKUP($A123,Artikelstamm!$B:$I,4,FALSE),""))</f>
        <v/>
      </c>
      <c r="E123" s="21">
        <f>IF($A123="","",IFERROR(VLOOKUP($A123,Artikelstamm!$B:$I,6,FALSE),""))</f>
        <v/>
      </c>
      <c r="F123" s="23" t="n"/>
      <c r="G123" s="21">
        <f>IF($A123="","",IF(COUNTIF(Artikelstamm!$B:$B,$A123)=0,"NEU – in Artikelstamm aufnehmen","OK"))</f>
        <v/>
      </c>
      <c r="H123" s="19" t="n"/>
    </row>
    <row r="124">
      <c r="A124" s="19" t="n"/>
      <c r="B124" s="21">
        <f>IF($A124="","",IFERROR(VLOOKUP($A124,Artikelstamm!$B:$I,2,FALSE),""))</f>
        <v/>
      </c>
      <c r="C124" s="21">
        <f>IF($A124="","",IFERROR(VLOOKUP($A124,Artikelstamm!$B:$I,3,FALSE),""))</f>
        <v/>
      </c>
      <c r="D124" s="22">
        <f>IF($A124="","",IFERROR(VLOOKUP($A124,Artikelstamm!$B:$I,4,FALSE),""))</f>
        <v/>
      </c>
      <c r="E124" s="21">
        <f>IF($A124="","",IFERROR(VLOOKUP($A124,Artikelstamm!$B:$I,6,FALSE),""))</f>
        <v/>
      </c>
      <c r="F124" s="23" t="n"/>
      <c r="G124" s="21">
        <f>IF($A124="","",IF(COUNTIF(Artikelstamm!$B:$B,$A124)=0,"NEU – in Artikelstamm aufnehmen","OK"))</f>
        <v/>
      </c>
      <c r="H124" s="19" t="n"/>
    </row>
    <row r="125">
      <c r="A125" s="19" t="n"/>
      <c r="B125" s="21">
        <f>IF($A125="","",IFERROR(VLOOKUP($A125,Artikelstamm!$B:$I,2,FALSE),""))</f>
        <v/>
      </c>
      <c r="C125" s="21">
        <f>IF($A125="","",IFERROR(VLOOKUP($A125,Artikelstamm!$B:$I,3,FALSE),""))</f>
        <v/>
      </c>
      <c r="D125" s="22">
        <f>IF($A125="","",IFERROR(VLOOKUP($A125,Artikelstamm!$B:$I,4,FALSE),""))</f>
        <v/>
      </c>
      <c r="E125" s="21">
        <f>IF($A125="","",IFERROR(VLOOKUP($A125,Artikelstamm!$B:$I,6,FALSE),""))</f>
        <v/>
      </c>
      <c r="F125" s="23" t="n"/>
      <c r="G125" s="21">
        <f>IF($A125="","",IF(COUNTIF(Artikelstamm!$B:$B,$A125)=0,"NEU – in Artikelstamm aufnehmen","OK"))</f>
        <v/>
      </c>
      <c r="H125" s="19" t="n"/>
    </row>
    <row r="126">
      <c r="A126" s="19" t="n"/>
      <c r="B126" s="21">
        <f>IF($A126="","",IFERROR(VLOOKUP($A126,Artikelstamm!$B:$I,2,FALSE),""))</f>
        <v/>
      </c>
      <c r="C126" s="21">
        <f>IF($A126="","",IFERROR(VLOOKUP($A126,Artikelstamm!$B:$I,3,FALSE),""))</f>
        <v/>
      </c>
      <c r="D126" s="22">
        <f>IF($A126="","",IFERROR(VLOOKUP($A126,Artikelstamm!$B:$I,4,FALSE),""))</f>
        <v/>
      </c>
      <c r="E126" s="21">
        <f>IF($A126="","",IFERROR(VLOOKUP($A126,Artikelstamm!$B:$I,6,FALSE),""))</f>
        <v/>
      </c>
      <c r="F126" s="23" t="n"/>
      <c r="G126" s="21">
        <f>IF($A126="","",IF(COUNTIF(Artikelstamm!$B:$B,$A126)=0,"NEU – in Artikelstamm aufnehmen","OK"))</f>
        <v/>
      </c>
      <c r="H126" s="19" t="n"/>
    </row>
    <row r="127">
      <c r="A127" s="19" t="n"/>
      <c r="B127" s="21">
        <f>IF($A127="","",IFERROR(VLOOKUP($A127,Artikelstamm!$B:$I,2,FALSE),""))</f>
        <v/>
      </c>
      <c r="C127" s="21">
        <f>IF($A127="","",IFERROR(VLOOKUP($A127,Artikelstamm!$B:$I,3,FALSE),""))</f>
        <v/>
      </c>
      <c r="D127" s="22">
        <f>IF($A127="","",IFERROR(VLOOKUP($A127,Artikelstamm!$B:$I,4,FALSE),""))</f>
        <v/>
      </c>
      <c r="E127" s="21">
        <f>IF($A127="","",IFERROR(VLOOKUP($A127,Artikelstamm!$B:$I,6,FALSE),""))</f>
        <v/>
      </c>
      <c r="F127" s="23" t="n"/>
      <c r="G127" s="21">
        <f>IF($A127="","",IF(COUNTIF(Artikelstamm!$B:$B,$A127)=0,"NEU – in Artikelstamm aufnehmen","OK"))</f>
        <v/>
      </c>
      <c r="H127" s="19" t="n"/>
    </row>
    <row r="128">
      <c r="A128" s="19" t="n"/>
      <c r="B128" s="21">
        <f>IF($A128="","",IFERROR(VLOOKUP($A128,Artikelstamm!$B:$I,2,FALSE),""))</f>
        <v/>
      </c>
      <c r="C128" s="21">
        <f>IF($A128="","",IFERROR(VLOOKUP($A128,Artikelstamm!$B:$I,3,FALSE),""))</f>
        <v/>
      </c>
      <c r="D128" s="22">
        <f>IF($A128="","",IFERROR(VLOOKUP($A128,Artikelstamm!$B:$I,4,FALSE),""))</f>
        <v/>
      </c>
      <c r="E128" s="21">
        <f>IF($A128="","",IFERROR(VLOOKUP($A128,Artikelstamm!$B:$I,6,FALSE),""))</f>
        <v/>
      </c>
      <c r="F128" s="23" t="n"/>
      <c r="G128" s="21">
        <f>IF($A128="","",IF(COUNTIF(Artikelstamm!$B:$B,$A128)=0,"NEU – in Artikelstamm aufnehmen","OK"))</f>
        <v/>
      </c>
      <c r="H128" s="19" t="n"/>
    </row>
    <row r="129">
      <c r="A129" s="19" t="n"/>
      <c r="B129" s="21">
        <f>IF($A129="","",IFERROR(VLOOKUP($A129,Artikelstamm!$B:$I,2,FALSE),""))</f>
        <v/>
      </c>
      <c r="C129" s="21">
        <f>IF($A129="","",IFERROR(VLOOKUP($A129,Artikelstamm!$B:$I,3,FALSE),""))</f>
        <v/>
      </c>
      <c r="D129" s="22">
        <f>IF($A129="","",IFERROR(VLOOKUP($A129,Artikelstamm!$B:$I,4,FALSE),""))</f>
        <v/>
      </c>
      <c r="E129" s="21">
        <f>IF($A129="","",IFERROR(VLOOKUP($A129,Artikelstamm!$B:$I,6,FALSE),""))</f>
        <v/>
      </c>
      <c r="F129" s="23" t="n"/>
      <c r="G129" s="21">
        <f>IF($A129="","",IF(COUNTIF(Artikelstamm!$B:$B,$A129)=0,"NEU – in Artikelstamm aufnehmen","OK"))</f>
        <v/>
      </c>
      <c r="H129" s="19" t="n"/>
    </row>
    <row r="130">
      <c r="A130" s="19" t="n"/>
      <c r="B130" s="21">
        <f>IF($A130="","",IFERROR(VLOOKUP($A130,Artikelstamm!$B:$I,2,FALSE),""))</f>
        <v/>
      </c>
      <c r="C130" s="21">
        <f>IF($A130="","",IFERROR(VLOOKUP($A130,Artikelstamm!$B:$I,3,FALSE),""))</f>
        <v/>
      </c>
      <c r="D130" s="22">
        <f>IF($A130="","",IFERROR(VLOOKUP($A130,Artikelstamm!$B:$I,4,FALSE),""))</f>
        <v/>
      </c>
      <c r="E130" s="21">
        <f>IF($A130="","",IFERROR(VLOOKUP($A130,Artikelstamm!$B:$I,6,FALSE),""))</f>
        <v/>
      </c>
      <c r="F130" s="23" t="n"/>
      <c r="G130" s="21">
        <f>IF($A130="","",IF(COUNTIF(Artikelstamm!$B:$B,$A130)=0,"NEU – in Artikelstamm aufnehmen","OK"))</f>
        <v/>
      </c>
      <c r="H130" s="19" t="n"/>
    </row>
    <row r="131">
      <c r="A131" s="19" t="n"/>
      <c r="B131" s="21">
        <f>IF($A131="","",IFERROR(VLOOKUP($A131,Artikelstamm!$B:$I,2,FALSE),""))</f>
        <v/>
      </c>
      <c r="C131" s="21">
        <f>IF($A131="","",IFERROR(VLOOKUP($A131,Artikelstamm!$B:$I,3,FALSE),""))</f>
        <v/>
      </c>
      <c r="D131" s="22">
        <f>IF($A131="","",IFERROR(VLOOKUP($A131,Artikelstamm!$B:$I,4,FALSE),""))</f>
        <v/>
      </c>
      <c r="E131" s="21">
        <f>IF($A131="","",IFERROR(VLOOKUP($A131,Artikelstamm!$B:$I,6,FALSE),""))</f>
        <v/>
      </c>
      <c r="F131" s="23" t="n"/>
      <c r="G131" s="21">
        <f>IF($A131="","",IF(COUNTIF(Artikelstamm!$B:$B,$A131)=0,"NEU – in Artikelstamm aufnehmen","OK"))</f>
        <v/>
      </c>
      <c r="H131" s="19" t="n"/>
    </row>
    <row r="132">
      <c r="A132" s="19" t="n"/>
      <c r="B132" s="21">
        <f>IF($A132="","",IFERROR(VLOOKUP($A132,Artikelstamm!$B:$I,2,FALSE),""))</f>
        <v/>
      </c>
      <c r="C132" s="21">
        <f>IF($A132="","",IFERROR(VLOOKUP($A132,Artikelstamm!$B:$I,3,FALSE),""))</f>
        <v/>
      </c>
      <c r="D132" s="22">
        <f>IF($A132="","",IFERROR(VLOOKUP($A132,Artikelstamm!$B:$I,4,FALSE),""))</f>
        <v/>
      </c>
      <c r="E132" s="21">
        <f>IF($A132="","",IFERROR(VLOOKUP($A132,Artikelstamm!$B:$I,6,FALSE),""))</f>
        <v/>
      </c>
      <c r="F132" s="23" t="n"/>
      <c r="G132" s="21">
        <f>IF($A132="","",IF(COUNTIF(Artikelstamm!$B:$B,$A132)=0,"NEU – in Artikelstamm aufnehmen","OK"))</f>
        <v/>
      </c>
      <c r="H132" s="19" t="n"/>
    </row>
    <row r="133">
      <c r="A133" s="19" t="n"/>
      <c r="B133" s="21">
        <f>IF($A133="","",IFERROR(VLOOKUP($A133,Artikelstamm!$B:$I,2,FALSE),""))</f>
        <v/>
      </c>
      <c r="C133" s="21">
        <f>IF($A133="","",IFERROR(VLOOKUP($A133,Artikelstamm!$B:$I,3,FALSE),""))</f>
        <v/>
      </c>
      <c r="D133" s="22">
        <f>IF($A133="","",IFERROR(VLOOKUP($A133,Artikelstamm!$B:$I,4,FALSE),""))</f>
        <v/>
      </c>
      <c r="E133" s="21">
        <f>IF($A133="","",IFERROR(VLOOKUP($A133,Artikelstamm!$B:$I,6,FALSE),""))</f>
        <v/>
      </c>
      <c r="F133" s="23" t="n"/>
      <c r="G133" s="21">
        <f>IF($A133="","",IF(COUNTIF(Artikelstamm!$B:$B,$A133)=0,"NEU – in Artikelstamm aufnehmen","OK"))</f>
        <v/>
      </c>
      <c r="H133" s="19" t="n"/>
    </row>
    <row r="134">
      <c r="A134" s="19" t="n"/>
      <c r="B134" s="21">
        <f>IF($A134="","",IFERROR(VLOOKUP($A134,Artikelstamm!$B:$I,2,FALSE),""))</f>
        <v/>
      </c>
      <c r="C134" s="21">
        <f>IF($A134="","",IFERROR(VLOOKUP($A134,Artikelstamm!$B:$I,3,FALSE),""))</f>
        <v/>
      </c>
      <c r="D134" s="22">
        <f>IF($A134="","",IFERROR(VLOOKUP($A134,Artikelstamm!$B:$I,4,FALSE),""))</f>
        <v/>
      </c>
      <c r="E134" s="21">
        <f>IF($A134="","",IFERROR(VLOOKUP($A134,Artikelstamm!$B:$I,6,FALSE),""))</f>
        <v/>
      </c>
      <c r="F134" s="23" t="n"/>
      <c r="G134" s="21">
        <f>IF($A134="","",IF(COUNTIF(Artikelstamm!$B:$B,$A134)=0,"NEU – in Artikelstamm aufnehmen","OK"))</f>
        <v/>
      </c>
      <c r="H134" s="19" t="n"/>
    </row>
    <row r="135">
      <c r="A135" s="19" t="n"/>
      <c r="B135" s="21">
        <f>IF($A135="","",IFERROR(VLOOKUP($A135,Artikelstamm!$B:$I,2,FALSE),""))</f>
        <v/>
      </c>
      <c r="C135" s="21">
        <f>IF($A135="","",IFERROR(VLOOKUP($A135,Artikelstamm!$B:$I,3,FALSE),""))</f>
        <v/>
      </c>
      <c r="D135" s="22">
        <f>IF($A135="","",IFERROR(VLOOKUP($A135,Artikelstamm!$B:$I,4,FALSE),""))</f>
        <v/>
      </c>
      <c r="E135" s="21">
        <f>IF($A135="","",IFERROR(VLOOKUP($A135,Artikelstamm!$B:$I,6,FALSE),""))</f>
        <v/>
      </c>
      <c r="F135" s="23" t="n"/>
      <c r="G135" s="21">
        <f>IF($A135="","",IF(COUNTIF(Artikelstamm!$B:$B,$A135)=0,"NEU – in Artikelstamm aufnehmen","OK"))</f>
        <v/>
      </c>
      <c r="H135" s="19" t="n"/>
    </row>
    <row r="136">
      <c r="A136" s="19" t="n"/>
      <c r="B136" s="21">
        <f>IF($A136="","",IFERROR(VLOOKUP($A136,Artikelstamm!$B:$I,2,FALSE),""))</f>
        <v/>
      </c>
      <c r="C136" s="21">
        <f>IF($A136="","",IFERROR(VLOOKUP($A136,Artikelstamm!$B:$I,3,FALSE),""))</f>
        <v/>
      </c>
      <c r="D136" s="22">
        <f>IF($A136="","",IFERROR(VLOOKUP($A136,Artikelstamm!$B:$I,4,FALSE),""))</f>
        <v/>
      </c>
      <c r="E136" s="21">
        <f>IF($A136="","",IFERROR(VLOOKUP($A136,Artikelstamm!$B:$I,6,FALSE),""))</f>
        <v/>
      </c>
      <c r="F136" s="23" t="n"/>
      <c r="G136" s="21">
        <f>IF($A136="","",IF(COUNTIF(Artikelstamm!$B:$B,$A136)=0,"NEU – in Artikelstamm aufnehmen","OK"))</f>
        <v/>
      </c>
      <c r="H136" s="19" t="n"/>
    </row>
    <row r="137">
      <c r="A137" s="19" t="n"/>
      <c r="B137" s="21">
        <f>IF($A137="","",IFERROR(VLOOKUP($A137,Artikelstamm!$B:$I,2,FALSE),""))</f>
        <v/>
      </c>
      <c r="C137" s="21">
        <f>IF($A137="","",IFERROR(VLOOKUP($A137,Artikelstamm!$B:$I,3,FALSE),""))</f>
        <v/>
      </c>
      <c r="D137" s="22">
        <f>IF($A137="","",IFERROR(VLOOKUP($A137,Artikelstamm!$B:$I,4,FALSE),""))</f>
        <v/>
      </c>
      <c r="E137" s="21">
        <f>IF($A137="","",IFERROR(VLOOKUP($A137,Artikelstamm!$B:$I,6,FALSE),""))</f>
        <v/>
      </c>
      <c r="F137" s="23" t="n"/>
      <c r="G137" s="21">
        <f>IF($A137="","",IF(COUNTIF(Artikelstamm!$B:$B,$A137)=0,"NEU – in Artikelstamm aufnehmen","OK"))</f>
        <v/>
      </c>
      <c r="H137" s="19" t="n"/>
    </row>
    <row r="138">
      <c r="A138" s="19" t="n"/>
      <c r="B138" s="21">
        <f>IF($A138="","",IFERROR(VLOOKUP($A138,Artikelstamm!$B:$I,2,FALSE),""))</f>
        <v/>
      </c>
      <c r="C138" s="21">
        <f>IF($A138="","",IFERROR(VLOOKUP($A138,Artikelstamm!$B:$I,3,FALSE),""))</f>
        <v/>
      </c>
      <c r="D138" s="22">
        <f>IF($A138="","",IFERROR(VLOOKUP($A138,Artikelstamm!$B:$I,4,FALSE),""))</f>
        <v/>
      </c>
      <c r="E138" s="21">
        <f>IF($A138="","",IFERROR(VLOOKUP($A138,Artikelstamm!$B:$I,6,FALSE),""))</f>
        <v/>
      </c>
      <c r="F138" s="23" t="n"/>
      <c r="G138" s="21">
        <f>IF($A138="","",IF(COUNTIF(Artikelstamm!$B:$B,$A138)=0,"NEU – in Artikelstamm aufnehmen","OK"))</f>
        <v/>
      </c>
      <c r="H138" s="19" t="n"/>
    </row>
    <row r="139">
      <c r="A139" s="19" t="n"/>
      <c r="B139" s="21">
        <f>IF($A139="","",IFERROR(VLOOKUP($A139,Artikelstamm!$B:$I,2,FALSE),""))</f>
        <v/>
      </c>
      <c r="C139" s="21">
        <f>IF($A139="","",IFERROR(VLOOKUP($A139,Artikelstamm!$B:$I,3,FALSE),""))</f>
        <v/>
      </c>
      <c r="D139" s="22">
        <f>IF($A139="","",IFERROR(VLOOKUP($A139,Artikelstamm!$B:$I,4,FALSE),""))</f>
        <v/>
      </c>
      <c r="E139" s="21">
        <f>IF($A139="","",IFERROR(VLOOKUP($A139,Artikelstamm!$B:$I,6,FALSE),""))</f>
        <v/>
      </c>
      <c r="F139" s="23" t="n"/>
      <c r="G139" s="21">
        <f>IF($A139="","",IF(COUNTIF(Artikelstamm!$B:$B,$A139)=0,"NEU – in Artikelstamm aufnehmen","OK"))</f>
        <v/>
      </c>
      <c r="H139" s="19" t="n"/>
    </row>
    <row r="140">
      <c r="A140" s="19" t="n"/>
      <c r="B140" s="21">
        <f>IF($A140="","",IFERROR(VLOOKUP($A140,Artikelstamm!$B:$I,2,FALSE),""))</f>
        <v/>
      </c>
      <c r="C140" s="21">
        <f>IF($A140="","",IFERROR(VLOOKUP($A140,Artikelstamm!$B:$I,3,FALSE),""))</f>
        <v/>
      </c>
      <c r="D140" s="22">
        <f>IF($A140="","",IFERROR(VLOOKUP($A140,Artikelstamm!$B:$I,4,FALSE),""))</f>
        <v/>
      </c>
      <c r="E140" s="21">
        <f>IF($A140="","",IFERROR(VLOOKUP($A140,Artikelstamm!$B:$I,6,FALSE),""))</f>
        <v/>
      </c>
      <c r="F140" s="23" t="n"/>
      <c r="G140" s="21">
        <f>IF($A140="","",IF(COUNTIF(Artikelstamm!$B:$B,$A140)=0,"NEU – in Artikelstamm aufnehmen","OK"))</f>
        <v/>
      </c>
      <c r="H140" s="19" t="n"/>
    </row>
    <row r="141">
      <c r="A141" s="19" t="n"/>
      <c r="B141" s="21">
        <f>IF($A141="","",IFERROR(VLOOKUP($A141,Artikelstamm!$B:$I,2,FALSE),""))</f>
        <v/>
      </c>
      <c r="C141" s="21">
        <f>IF($A141="","",IFERROR(VLOOKUP($A141,Artikelstamm!$B:$I,3,FALSE),""))</f>
        <v/>
      </c>
      <c r="D141" s="22">
        <f>IF($A141="","",IFERROR(VLOOKUP($A141,Artikelstamm!$B:$I,4,FALSE),""))</f>
        <v/>
      </c>
      <c r="E141" s="21">
        <f>IF($A141="","",IFERROR(VLOOKUP($A141,Artikelstamm!$B:$I,6,FALSE),""))</f>
        <v/>
      </c>
      <c r="F141" s="23" t="n"/>
      <c r="G141" s="21">
        <f>IF($A141="","",IF(COUNTIF(Artikelstamm!$B:$B,$A141)=0,"NEU – in Artikelstamm aufnehmen","OK"))</f>
        <v/>
      </c>
      <c r="H141" s="19" t="n"/>
    </row>
    <row r="142">
      <c r="A142" s="19" t="n"/>
      <c r="B142" s="21">
        <f>IF($A142="","",IFERROR(VLOOKUP($A142,Artikelstamm!$B:$I,2,FALSE),""))</f>
        <v/>
      </c>
      <c r="C142" s="21">
        <f>IF($A142="","",IFERROR(VLOOKUP($A142,Artikelstamm!$B:$I,3,FALSE),""))</f>
        <v/>
      </c>
      <c r="D142" s="22">
        <f>IF($A142="","",IFERROR(VLOOKUP($A142,Artikelstamm!$B:$I,4,FALSE),""))</f>
        <v/>
      </c>
      <c r="E142" s="21">
        <f>IF($A142="","",IFERROR(VLOOKUP($A142,Artikelstamm!$B:$I,6,FALSE),""))</f>
        <v/>
      </c>
      <c r="F142" s="23" t="n"/>
      <c r="G142" s="21">
        <f>IF($A142="","",IF(COUNTIF(Artikelstamm!$B:$B,$A142)=0,"NEU – in Artikelstamm aufnehmen","OK"))</f>
        <v/>
      </c>
      <c r="H142" s="19" t="n"/>
    </row>
    <row r="143">
      <c r="A143" s="19" t="n"/>
      <c r="B143" s="21">
        <f>IF($A143="","",IFERROR(VLOOKUP($A143,Artikelstamm!$B:$I,2,FALSE),""))</f>
        <v/>
      </c>
      <c r="C143" s="21">
        <f>IF($A143="","",IFERROR(VLOOKUP($A143,Artikelstamm!$B:$I,3,FALSE),""))</f>
        <v/>
      </c>
      <c r="D143" s="22">
        <f>IF($A143="","",IFERROR(VLOOKUP($A143,Artikelstamm!$B:$I,4,FALSE),""))</f>
        <v/>
      </c>
      <c r="E143" s="21">
        <f>IF($A143="","",IFERROR(VLOOKUP($A143,Artikelstamm!$B:$I,6,FALSE),""))</f>
        <v/>
      </c>
      <c r="F143" s="23" t="n"/>
      <c r="G143" s="21">
        <f>IF($A143="","",IF(COUNTIF(Artikelstamm!$B:$B,$A143)=0,"NEU – in Artikelstamm aufnehmen","OK"))</f>
        <v/>
      </c>
      <c r="H143" s="19" t="n"/>
    </row>
    <row r="144">
      <c r="A144" s="19" t="n"/>
      <c r="B144" s="21">
        <f>IF($A144="","",IFERROR(VLOOKUP($A144,Artikelstamm!$B:$I,2,FALSE),""))</f>
        <v/>
      </c>
      <c r="C144" s="21">
        <f>IF($A144="","",IFERROR(VLOOKUP($A144,Artikelstamm!$B:$I,3,FALSE),""))</f>
        <v/>
      </c>
      <c r="D144" s="22">
        <f>IF($A144="","",IFERROR(VLOOKUP($A144,Artikelstamm!$B:$I,4,FALSE),""))</f>
        <v/>
      </c>
      <c r="E144" s="21">
        <f>IF($A144="","",IFERROR(VLOOKUP($A144,Artikelstamm!$B:$I,6,FALSE),""))</f>
        <v/>
      </c>
      <c r="F144" s="23" t="n"/>
      <c r="G144" s="21">
        <f>IF($A144="","",IF(COUNTIF(Artikelstamm!$B:$B,$A144)=0,"NEU – in Artikelstamm aufnehmen","OK"))</f>
        <v/>
      </c>
      <c r="H144" s="19" t="n"/>
    </row>
    <row r="145">
      <c r="A145" s="19" t="n"/>
      <c r="B145" s="21">
        <f>IF($A145="","",IFERROR(VLOOKUP($A145,Artikelstamm!$B:$I,2,FALSE),""))</f>
        <v/>
      </c>
      <c r="C145" s="21">
        <f>IF($A145="","",IFERROR(VLOOKUP($A145,Artikelstamm!$B:$I,3,FALSE),""))</f>
        <v/>
      </c>
      <c r="D145" s="22">
        <f>IF($A145="","",IFERROR(VLOOKUP($A145,Artikelstamm!$B:$I,4,FALSE),""))</f>
        <v/>
      </c>
      <c r="E145" s="21">
        <f>IF($A145="","",IFERROR(VLOOKUP($A145,Artikelstamm!$B:$I,6,FALSE),""))</f>
        <v/>
      </c>
      <c r="F145" s="23" t="n"/>
      <c r="G145" s="21">
        <f>IF($A145="","",IF(COUNTIF(Artikelstamm!$B:$B,$A145)=0,"NEU – in Artikelstamm aufnehmen","OK"))</f>
        <v/>
      </c>
      <c r="H145" s="19" t="n"/>
    </row>
    <row r="146">
      <c r="A146" s="19" t="n"/>
      <c r="B146" s="21">
        <f>IF($A146="","",IFERROR(VLOOKUP($A146,Artikelstamm!$B:$I,2,FALSE),""))</f>
        <v/>
      </c>
      <c r="C146" s="21">
        <f>IF($A146="","",IFERROR(VLOOKUP($A146,Artikelstamm!$B:$I,3,FALSE),""))</f>
        <v/>
      </c>
      <c r="D146" s="22">
        <f>IF($A146="","",IFERROR(VLOOKUP($A146,Artikelstamm!$B:$I,4,FALSE),""))</f>
        <v/>
      </c>
      <c r="E146" s="21">
        <f>IF($A146="","",IFERROR(VLOOKUP($A146,Artikelstamm!$B:$I,6,FALSE),""))</f>
        <v/>
      </c>
      <c r="F146" s="23" t="n"/>
      <c r="G146" s="21">
        <f>IF($A146="","",IF(COUNTIF(Artikelstamm!$B:$B,$A146)=0,"NEU – in Artikelstamm aufnehmen","OK"))</f>
        <v/>
      </c>
      <c r="H146" s="19" t="n"/>
    </row>
    <row r="147">
      <c r="A147" s="19" t="n"/>
      <c r="B147" s="21">
        <f>IF($A147="","",IFERROR(VLOOKUP($A147,Artikelstamm!$B:$I,2,FALSE),""))</f>
        <v/>
      </c>
      <c r="C147" s="21">
        <f>IF($A147="","",IFERROR(VLOOKUP($A147,Artikelstamm!$B:$I,3,FALSE),""))</f>
        <v/>
      </c>
      <c r="D147" s="22">
        <f>IF($A147="","",IFERROR(VLOOKUP($A147,Artikelstamm!$B:$I,4,FALSE),""))</f>
        <v/>
      </c>
      <c r="E147" s="21">
        <f>IF($A147="","",IFERROR(VLOOKUP($A147,Artikelstamm!$B:$I,6,FALSE),""))</f>
        <v/>
      </c>
      <c r="F147" s="23" t="n"/>
      <c r="G147" s="21">
        <f>IF($A147="","",IF(COUNTIF(Artikelstamm!$B:$B,$A147)=0,"NEU – in Artikelstamm aufnehmen","OK"))</f>
        <v/>
      </c>
      <c r="H147" s="19" t="n"/>
    </row>
    <row r="148">
      <c r="A148" s="19" t="n"/>
      <c r="B148" s="21">
        <f>IF($A148="","",IFERROR(VLOOKUP($A148,Artikelstamm!$B:$I,2,FALSE),""))</f>
        <v/>
      </c>
      <c r="C148" s="21">
        <f>IF($A148="","",IFERROR(VLOOKUP($A148,Artikelstamm!$B:$I,3,FALSE),""))</f>
        <v/>
      </c>
      <c r="D148" s="22">
        <f>IF($A148="","",IFERROR(VLOOKUP($A148,Artikelstamm!$B:$I,4,FALSE),""))</f>
        <v/>
      </c>
      <c r="E148" s="21">
        <f>IF($A148="","",IFERROR(VLOOKUP($A148,Artikelstamm!$B:$I,6,FALSE),""))</f>
        <v/>
      </c>
      <c r="F148" s="23" t="n"/>
      <c r="G148" s="21">
        <f>IF($A148="","",IF(COUNTIF(Artikelstamm!$B:$B,$A148)=0,"NEU – in Artikelstamm aufnehmen","OK"))</f>
        <v/>
      </c>
      <c r="H148" s="19" t="n"/>
    </row>
    <row r="149">
      <c r="A149" s="19" t="n"/>
      <c r="B149" s="21">
        <f>IF($A149="","",IFERROR(VLOOKUP($A149,Artikelstamm!$B:$I,2,FALSE),""))</f>
        <v/>
      </c>
      <c r="C149" s="21">
        <f>IF($A149="","",IFERROR(VLOOKUP($A149,Artikelstamm!$B:$I,3,FALSE),""))</f>
        <v/>
      </c>
      <c r="D149" s="22">
        <f>IF($A149="","",IFERROR(VLOOKUP($A149,Artikelstamm!$B:$I,4,FALSE),""))</f>
        <v/>
      </c>
      <c r="E149" s="21">
        <f>IF($A149="","",IFERROR(VLOOKUP($A149,Artikelstamm!$B:$I,6,FALSE),""))</f>
        <v/>
      </c>
      <c r="F149" s="23" t="n"/>
      <c r="G149" s="21">
        <f>IF($A149="","",IF(COUNTIF(Artikelstamm!$B:$B,$A149)=0,"NEU – in Artikelstamm aufnehmen","OK"))</f>
        <v/>
      </c>
      <c r="H149" s="19" t="n"/>
    </row>
    <row r="150">
      <c r="A150" s="19" t="n"/>
      <c r="B150" s="21">
        <f>IF($A150="","",IFERROR(VLOOKUP($A150,Artikelstamm!$B:$I,2,FALSE),""))</f>
        <v/>
      </c>
      <c r="C150" s="21">
        <f>IF($A150="","",IFERROR(VLOOKUP($A150,Artikelstamm!$B:$I,3,FALSE),""))</f>
        <v/>
      </c>
      <c r="D150" s="22">
        <f>IF($A150="","",IFERROR(VLOOKUP($A150,Artikelstamm!$B:$I,4,FALSE),""))</f>
        <v/>
      </c>
      <c r="E150" s="21">
        <f>IF($A150="","",IFERROR(VLOOKUP($A150,Artikelstamm!$B:$I,6,FALSE),""))</f>
        <v/>
      </c>
      <c r="F150" s="23" t="n"/>
      <c r="G150" s="21">
        <f>IF($A150="","",IF(COUNTIF(Artikelstamm!$B:$B,$A150)=0,"NEU – in Artikelstamm aufnehmen","OK"))</f>
        <v/>
      </c>
      <c r="H150" s="19" t="n"/>
    </row>
    <row r="151">
      <c r="A151" s="19" t="n"/>
      <c r="B151" s="21">
        <f>IF($A151="","",IFERROR(VLOOKUP($A151,Artikelstamm!$B:$I,2,FALSE),""))</f>
        <v/>
      </c>
      <c r="C151" s="21">
        <f>IF($A151="","",IFERROR(VLOOKUP($A151,Artikelstamm!$B:$I,3,FALSE),""))</f>
        <v/>
      </c>
      <c r="D151" s="22">
        <f>IF($A151="","",IFERROR(VLOOKUP($A151,Artikelstamm!$B:$I,4,FALSE),""))</f>
        <v/>
      </c>
      <c r="E151" s="21">
        <f>IF($A151="","",IFERROR(VLOOKUP($A151,Artikelstamm!$B:$I,6,FALSE),""))</f>
        <v/>
      </c>
      <c r="F151" s="23" t="n"/>
      <c r="G151" s="21">
        <f>IF($A151="","",IF(COUNTIF(Artikelstamm!$B:$B,$A151)=0,"NEU – in Artikelstamm aufnehmen","OK"))</f>
        <v/>
      </c>
      <c r="H151" s="19" t="n"/>
    </row>
    <row r="152">
      <c r="A152" s="19" t="n"/>
      <c r="B152" s="21">
        <f>IF($A152="","",IFERROR(VLOOKUP($A152,Artikelstamm!$B:$I,2,FALSE),""))</f>
        <v/>
      </c>
      <c r="C152" s="21">
        <f>IF($A152="","",IFERROR(VLOOKUP($A152,Artikelstamm!$B:$I,3,FALSE),""))</f>
        <v/>
      </c>
      <c r="D152" s="22">
        <f>IF($A152="","",IFERROR(VLOOKUP($A152,Artikelstamm!$B:$I,4,FALSE),""))</f>
        <v/>
      </c>
      <c r="E152" s="21">
        <f>IF($A152="","",IFERROR(VLOOKUP($A152,Artikelstamm!$B:$I,6,FALSE),""))</f>
        <v/>
      </c>
      <c r="F152" s="23" t="n"/>
      <c r="G152" s="21">
        <f>IF($A152="","",IF(COUNTIF(Artikelstamm!$B:$B,$A152)=0,"NEU – in Artikelstamm aufnehmen","OK"))</f>
        <v/>
      </c>
      <c r="H152" s="19" t="n"/>
    </row>
    <row r="153">
      <c r="A153" s="19" t="n"/>
      <c r="B153" s="21">
        <f>IF($A153="","",IFERROR(VLOOKUP($A153,Artikelstamm!$B:$I,2,FALSE),""))</f>
        <v/>
      </c>
      <c r="C153" s="21">
        <f>IF($A153="","",IFERROR(VLOOKUP($A153,Artikelstamm!$B:$I,3,FALSE),""))</f>
        <v/>
      </c>
      <c r="D153" s="22">
        <f>IF($A153="","",IFERROR(VLOOKUP($A153,Artikelstamm!$B:$I,4,FALSE),""))</f>
        <v/>
      </c>
      <c r="E153" s="21">
        <f>IF($A153="","",IFERROR(VLOOKUP($A153,Artikelstamm!$B:$I,6,FALSE),""))</f>
        <v/>
      </c>
      <c r="F153" s="23" t="n"/>
      <c r="G153" s="21">
        <f>IF($A153="","",IF(COUNTIF(Artikelstamm!$B:$B,$A153)=0,"NEU – in Artikelstamm aufnehmen","OK"))</f>
        <v/>
      </c>
      <c r="H153" s="19" t="n"/>
    </row>
    <row r="154">
      <c r="A154" s="19" t="n"/>
      <c r="B154" s="21">
        <f>IF($A154="","",IFERROR(VLOOKUP($A154,Artikelstamm!$B:$I,2,FALSE),""))</f>
        <v/>
      </c>
      <c r="C154" s="21">
        <f>IF($A154="","",IFERROR(VLOOKUP($A154,Artikelstamm!$B:$I,3,FALSE),""))</f>
        <v/>
      </c>
      <c r="D154" s="22">
        <f>IF($A154="","",IFERROR(VLOOKUP($A154,Artikelstamm!$B:$I,4,FALSE),""))</f>
        <v/>
      </c>
      <c r="E154" s="21">
        <f>IF($A154="","",IFERROR(VLOOKUP($A154,Artikelstamm!$B:$I,6,FALSE),""))</f>
        <v/>
      </c>
      <c r="F154" s="23" t="n"/>
      <c r="G154" s="21">
        <f>IF($A154="","",IF(COUNTIF(Artikelstamm!$B:$B,$A154)=0,"NEU – in Artikelstamm aufnehmen","OK"))</f>
        <v/>
      </c>
      <c r="H154" s="19" t="n"/>
    </row>
    <row r="155">
      <c r="A155" s="19" t="n"/>
      <c r="B155" s="21">
        <f>IF($A155="","",IFERROR(VLOOKUP($A155,Artikelstamm!$B:$I,2,FALSE),""))</f>
        <v/>
      </c>
      <c r="C155" s="21">
        <f>IF($A155="","",IFERROR(VLOOKUP($A155,Artikelstamm!$B:$I,3,FALSE),""))</f>
        <v/>
      </c>
      <c r="D155" s="22">
        <f>IF($A155="","",IFERROR(VLOOKUP($A155,Artikelstamm!$B:$I,4,FALSE),""))</f>
        <v/>
      </c>
      <c r="E155" s="21">
        <f>IF($A155="","",IFERROR(VLOOKUP($A155,Artikelstamm!$B:$I,6,FALSE),""))</f>
        <v/>
      </c>
      <c r="F155" s="23" t="n"/>
      <c r="G155" s="21">
        <f>IF($A155="","",IF(COUNTIF(Artikelstamm!$B:$B,$A155)=0,"NEU – in Artikelstamm aufnehmen","OK"))</f>
        <v/>
      </c>
      <c r="H155" s="19" t="n"/>
    </row>
    <row r="156">
      <c r="A156" s="19" t="n"/>
      <c r="B156" s="21">
        <f>IF($A156="","",IFERROR(VLOOKUP($A156,Artikelstamm!$B:$I,2,FALSE),""))</f>
        <v/>
      </c>
      <c r="C156" s="21">
        <f>IF($A156="","",IFERROR(VLOOKUP($A156,Artikelstamm!$B:$I,3,FALSE),""))</f>
        <v/>
      </c>
      <c r="D156" s="22">
        <f>IF($A156="","",IFERROR(VLOOKUP($A156,Artikelstamm!$B:$I,4,FALSE),""))</f>
        <v/>
      </c>
      <c r="E156" s="21">
        <f>IF($A156="","",IFERROR(VLOOKUP($A156,Artikelstamm!$B:$I,6,FALSE),""))</f>
        <v/>
      </c>
      <c r="F156" s="23" t="n"/>
      <c r="G156" s="21">
        <f>IF($A156="","",IF(COUNTIF(Artikelstamm!$B:$B,$A156)=0,"NEU – in Artikelstamm aufnehmen","OK"))</f>
        <v/>
      </c>
      <c r="H156" s="19" t="n"/>
    </row>
    <row r="157">
      <c r="A157" s="19" t="n"/>
      <c r="B157" s="21">
        <f>IF($A157="","",IFERROR(VLOOKUP($A157,Artikelstamm!$B:$I,2,FALSE),""))</f>
        <v/>
      </c>
      <c r="C157" s="21">
        <f>IF($A157="","",IFERROR(VLOOKUP($A157,Artikelstamm!$B:$I,3,FALSE),""))</f>
        <v/>
      </c>
      <c r="D157" s="22">
        <f>IF($A157="","",IFERROR(VLOOKUP($A157,Artikelstamm!$B:$I,4,FALSE),""))</f>
        <v/>
      </c>
      <c r="E157" s="21">
        <f>IF($A157="","",IFERROR(VLOOKUP($A157,Artikelstamm!$B:$I,6,FALSE),""))</f>
        <v/>
      </c>
      <c r="F157" s="23" t="n"/>
      <c r="G157" s="21">
        <f>IF($A157="","",IF(COUNTIF(Artikelstamm!$B:$B,$A157)=0,"NEU – in Artikelstamm aufnehmen","OK"))</f>
        <v/>
      </c>
      <c r="H157" s="19" t="n"/>
    </row>
    <row r="158">
      <c r="A158" s="19" t="n"/>
      <c r="B158" s="21">
        <f>IF($A158="","",IFERROR(VLOOKUP($A158,Artikelstamm!$B:$I,2,FALSE),""))</f>
        <v/>
      </c>
      <c r="C158" s="21">
        <f>IF($A158="","",IFERROR(VLOOKUP($A158,Artikelstamm!$B:$I,3,FALSE),""))</f>
        <v/>
      </c>
      <c r="D158" s="22">
        <f>IF($A158="","",IFERROR(VLOOKUP($A158,Artikelstamm!$B:$I,4,FALSE),""))</f>
        <v/>
      </c>
      <c r="E158" s="21">
        <f>IF($A158="","",IFERROR(VLOOKUP($A158,Artikelstamm!$B:$I,6,FALSE),""))</f>
        <v/>
      </c>
      <c r="F158" s="23" t="n"/>
      <c r="G158" s="21">
        <f>IF($A158="","",IF(COUNTIF(Artikelstamm!$B:$B,$A158)=0,"NEU – in Artikelstamm aufnehmen","OK"))</f>
        <v/>
      </c>
      <c r="H158" s="19" t="n"/>
    </row>
    <row r="159">
      <c r="A159" s="19" t="n"/>
      <c r="B159" s="21">
        <f>IF($A159="","",IFERROR(VLOOKUP($A159,Artikelstamm!$B:$I,2,FALSE),""))</f>
        <v/>
      </c>
      <c r="C159" s="21">
        <f>IF($A159="","",IFERROR(VLOOKUP($A159,Artikelstamm!$B:$I,3,FALSE),""))</f>
        <v/>
      </c>
      <c r="D159" s="22">
        <f>IF($A159="","",IFERROR(VLOOKUP($A159,Artikelstamm!$B:$I,4,FALSE),""))</f>
        <v/>
      </c>
      <c r="E159" s="21">
        <f>IF($A159="","",IFERROR(VLOOKUP($A159,Artikelstamm!$B:$I,6,FALSE),""))</f>
        <v/>
      </c>
      <c r="F159" s="23" t="n"/>
      <c r="G159" s="21">
        <f>IF($A159="","",IF(COUNTIF(Artikelstamm!$B:$B,$A159)=0,"NEU – in Artikelstamm aufnehmen","OK"))</f>
        <v/>
      </c>
      <c r="H159" s="19" t="n"/>
    </row>
    <row r="160">
      <c r="A160" s="19" t="n"/>
      <c r="B160" s="21">
        <f>IF($A160="","",IFERROR(VLOOKUP($A160,Artikelstamm!$B:$I,2,FALSE),""))</f>
        <v/>
      </c>
      <c r="C160" s="21">
        <f>IF($A160="","",IFERROR(VLOOKUP($A160,Artikelstamm!$B:$I,3,FALSE),""))</f>
        <v/>
      </c>
      <c r="D160" s="22">
        <f>IF($A160="","",IFERROR(VLOOKUP($A160,Artikelstamm!$B:$I,4,FALSE),""))</f>
        <v/>
      </c>
      <c r="E160" s="21">
        <f>IF($A160="","",IFERROR(VLOOKUP($A160,Artikelstamm!$B:$I,6,FALSE),""))</f>
        <v/>
      </c>
      <c r="F160" s="23" t="n"/>
      <c r="G160" s="21">
        <f>IF($A160="","",IF(COUNTIF(Artikelstamm!$B:$B,$A160)=0,"NEU – in Artikelstamm aufnehmen","OK"))</f>
        <v/>
      </c>
      <c r="H160" s="19" t="n"/>
    </row>
    <row r="161">
      <c r="A161" s="19" t="n"/>
      <c r="B161" s="21">
        <f>IF($A161="","",IFERROR(VLOOKUP($A161,Artikelstamm!$B:$I,2,FALSE),""))</f>
        <v/>
      </c>
      <c r="C161" s="21">
        <f>IF($A161="","",IFERROR(VLOOKUP($A161,Artikelstamm!$B:$I,3,FALSE),""))</f>
        <v/>
      </c>
      <c r="D161" s="22">
        <f>IF($A161="","",IFERROR(VLOOKUP($A161,Artikelstamm!$B:$I,4,FALSE),""))</f>
        <v/>
      </c>
      <c r="E161" s="21">
        <f>IF($A161="","",IFERROR(VLOOKUP($A161,Artikelstamm!$B:$I,6,FALSE),""))</f>
        <v/>
      </c>
      <c r="F161" s="23" t="n"/>
      <c r="G161" s="21">
        <f>IF($A161="","",IF(COUNTIF(Artikelstamm!$B:$B,$A161)=0,"NEU – in Artikelstamm aufnehmen","OK"))</f>
        <v/>
      </c>
      <c r="H161" s="19" t="n"/>
    </row>
    <row r="162">
      <c r="A162" s="19" t="n"/>
      <c r="B162" s="21">
        <f>IF($A162="","",IFERROR(VLOOKUP($A162,Artikelstamm!$B:$I,2,FALSE),""))</f>
        <v/>
      </c>
      <c r="C162" s="21">
        <f>IF($A162="","",IFERROR(VLOOKUP($A162,Artikelstamm!$B:$I,3,FALSE),""))</f>
        <v/>
      </c>
      <c r="D162" s="22">
        <f>IF($A162="","",IFERROR(VLOOKUP($A162,Artikelstamm!$B:$I,4,FALSE),""))</f>
        <v/>
      </c>
      <c r="E162" s="21">
        <f>IF($A162="","",IFERROR(VLOOKUP($A162,Artikelstamm!$B:$I,6,FALSE),""))</f>
        <v/>
      </c>
      <c r="F162" s="23" t="n"/>
      <c r="G162" s="21">
        <f>IF($A162="","",IF(COUNTIF(Artikelstamm!$B:$B,$A162)=0,"NEU – in Artikelstamm aufnehmen","OK"))</f>
        <v/>
      </c>
      <c r="H162" s="19" t="n"/>
    </row>
    <row r="163">
      <c r="A163" s="19" t="n"/>
      <c r="B163" s="21">
        <f>IF($A163="","",IFERROR(VLOOKUP($A163,Artikelstamm!$B:$I,2,FALSE),""))</f>
        <v/>
      </c>
      <c r="C163" s="21">
        <f>IF($A163="","",IFERROR(VLOOKUP($A163,Artikelstamm!$B:$I,3,FALSE),""))</f>
        <v/>
      </c>
      <c r="D163" s="22">
        <f>IF($A163="","",IFERROR(VLOOKUP($A163,Artikelstamm!$B:$I,4,FALSE),""))</f>
        <v/>
      </c>
      <c r="E163" s="21">
        <f>IF($A163="","",IFERROR(VLOOKUP($A163,Artikelstamm!$B:$I,6,FALSE),""))</f>
        <v/>
      </c>
      <c r="F163" s="23" t="n"/>
      <c r="G163" s="21">
        <f>IF($A163="","",IF(COUNTIF(Artikelstamm!$B:$B,$A163)=0,"NEU – in Artikelstamm aufnehmen","OK"))</f>
        <v/>
      </c>
      <c r="H163" s="19" t="n"/>
    </row>
    <row r="164">
      <c r="A164" s="19" t="n"/>
      <c r="B164" s="21">
        <f>IF($A164="","",IFERROR(VLOOKUP($A164,Artikelstamm!$B:$I,2,FALSE),""))</f>
        <v/>
      </c>
      <c r="C164" s="21">
        <f>IF($A164="","",IFERROR(VLOOKUP($A164,Artikelstamm!$B:$I,3,FALSE),""))</f>
        <v/>
      </c>
      <c r="D164" s="22">
        <f>IF($A164="","",IFERROR(VLOOKUP($A164,Artikelstamm!$B:$I,4,FALSE),""))</f>
        <v/>
      </c>
      <c r="E164" s="21">
        <f>IF($A164="","",IFERROR(VLOOKUP($A164,Artikelstamm!$B:$I,6,FALSE),""))</f>
        <v/>
      </c>
      <c r="F164" s="23" t="n"/>
      <c r="G164" s="21">
        <f>IF($A164="","",IF(COUNTIF(Artikelstamm!$B:$B,$A164)=0,"NEU – in Artikelstamm aufnehmen","OK"))</f>
        <v/>
      </c>
      <c r="H164" s="19" t="n"/>
    </row>
    <row r="165">
      <c r="A165" s="19" t="n"/>
      <c r="B165" s="21">
        <f>IF($A165="","",IFERROR(VLOOKUP($A165,Artikelstamm!$B:$I,2,FALSE),""))</f>
        <v/>
      </c>
      <c r="C165" s="21">
        <f>IF($A165="","",IFERROR(VLOOKUP($A165,Artikelstamm!$B:$I,3,FALSE),""))</f>
        <v/>
      </c>
      <c r="D165" s="22">
        <f>IF($A165="","",IFERROR(VLOOKUP($A165,Artikelstamm!$B:$I,4,FALSE),""))</f>
        <v/>
      </c>
      <c r="E165" s="21">
        <f>IF($A165="","",IFERROR(VLOOKUP($A165,Artikelstamm!$B:$I,6,FALSE),""))</f>
        <v/>
      </c>
      <c r="F165" s="23" t="n"/>
      <c r="G165" s="21">
        <f>IF($A165="","",IF(COUNTIF(Artikelstamm!$B:$B,$A165)=0,"NEU – in Artikelstamm aufnehmen","OK"))</f>
        <v/>
      </c>
      <c r="H165" s="19" t="n"/>
    </row>
    <row r="166">
      <c r="A166" s="19" t="n"/>
      <c r="B166" s="21">
        <f>IF($A166="","",IFERROR(VLOOKUP($A166,Artikelstamm!$B:$I,2,FALSE),""))</f>
        <v/>
      </c>
      <c r="C166" s="21">
        <f>IF($A166="","",IFERROR(VLOOKUP($A166,Artikelstamm!$B:$I,3,FALSE),""))</f>
        <v/>
      </c>
      <c r="D166" s="22">
        <f>IF($A166="","",IFERROR(VLOOKUP($A166,Artikelstamm!$B:$I,4,FALSE),""))</f>
        <v/>
      </c>
      <c r="E166" s="21">
        <f>IF($A166="","",IFERROR(VLOOKUP($A166,Artikelstamm!$B:$I,6,FALSE),""))</f>
        <v/>
      </c>
      <c r="F166" s="23" t="n"/>
      <c r="G166" s="21">
        <f>IF($A166="","",IF(COUNTIF(Artikelstamm!$B:$B,$A166)=0,"NEU – in Artikelstamm aufnehmen","OK"))</f>
        <v/>
      </c>
      <c r="H166" s="19" t="n"/>
    </row>
    <row r="167">
      <c r="A167" s="19" t="n"/>
      <c r="B167" s="21">
        <f>IF($A167="","",IFERROR(VLOOKUP($A167,Artikelstamm!$B:$I,2,FALSE),""))</f>
        <v/>
      </c>
      <c r="C167" s="21">
        <f>IF($A167="","",IFERROR(VLOOKUP($A167,Artikelstamm!$B:$I,3,FALSE),""))</f>
        <v/>
      </c>
      <c r="D167" s="22">
        <f>IF($A167="","",IFERROR(VLOOKUP($A167,Artikelstamm!$B:$I,4,FALSE),""))</f>
        <v/>
      </c>
      <c r="E167" s="21">
        <f>IF($A167="","",IFERROR(VLOOKUP($A167,Artikelstamm!$B:$I,6,FALSE),""))</f>
        <v/>
      </c>
      <c r="F167" s="23" t="n"/>
      <c r="G167" s="21">
        <f>IF($A167="","",IF(COUNTIF(Artikelstamm!$B:$B,$A167)=0,"NEU – in Artikelstamm aufnehmen","OK"))</f>
        <v/>
      </c>
      <c r="H167" s="19" t="n"/>
    </row>
    <row r="168">
      <c r="A168" s="19" t="n"/>
      <c r="B168" s="21">
        <f>IF($A168="","",IFERROR(VLOOKUP($A168,Artikelstamm!$B:$I,2,FALSE),""))</f>
        <v/>
      </c>
      <c r="C168" s="21">
        <f>IF($A168="","",IFERROR(VLOOKUP($A168,Artikelstamm!$B:$I,3,FALSE),""))</f>
        <v/>
      </c>
      <c r="D168" s="22">
        <f>IF($A168="","",IFERROR(VLOOKUP($A168,Artikelstamm!$B:$I,4,FALSE),""))</f>
        <v/>
      </c>
      <c r="E168" s="21">
        <f>IF($A168="","",IFERROR(VLOOKUP($A168,Artikelstamm!$B:$I,6,FALSE),""))</f>
        <v/>
      </c>
      <c r="F168" s="23" t="n"/>
      <c r="G168" s="21">
        <f>IF($A168="","",IF(COUNTIF(Artikelstamm!$B:$B,$A168)=0,"NEU – in Artikelstamm aufnehmen","OK"))</f>
        <v/>
      </c>
      <c r="H168" s="19" t="n"/>
    </row>
    <row r="169">
      <c r="A169" s="19" t="n"/>
      <c r="B169" s="21">
        <f>IF($A169="","",IFERROR(VLOOKUP($A169,Artikelstamm!$B:$I,2,FALSE),""))</f>
        <v/>
      </c>
      <c r="C169" s="21">
        <f>IF($A169="","",IFERROR(VLOOKUP($A169,Artikelstamm!$B:$I,3,FALSE),""))</f>
        <v/>
      </c>
      <c r="D169" s="22">
        <f>IF($A169="","",IFERROR(VLOOKUP($A169,Artikelstamm!$B:$I,4,FALSE),""))</f>
        <v/>
      </c>
      <c r="E169" s="21">
        <f>IF($A169="","",IFERROR(VLOOKUP($A169,Artikelstamm!$B:$I,6,FALSE),""))</f>
        <v/>
      </c>
      <c r="F169" s="23" t="n"/>
      <c r="G169" s="21">
        <f>IF($A169="","",IF(COUNTIF(Artikelstamm!$B:$B,$A169)=0,"NEU – in Artikelstamm aufnehmen","OK"))</f>
        <v/>
      </c>
      <c r="H169" s="19" t="n"/>
    </row>
    <row r="170">
      <c r="A170" s="19" t="n"/>
      <c r="B170" s="21">
        <f>IF($A170="","",IFERROR(VLOOKUP($A170,Artikelstamm!$B:$I,2,FALSE),""))</f>
        <v/>
      </c>
      <c r="C170" s="21">
        <f>IF($A170="","",IFERROR(VLOOKUP($A170,Artikelstamm!$B:$I,3,FALSE),""))</f>
        <v/>
      </c>
      <c r="D170" s="22">
        <f>IF($A170="","",IFERROR(VLOOKUP($A170,Artikelstamm!$B:$I,4,FALSE),""))</f>
        <v/>
      </c>
      <c r="E170" s="21">
        <f>IF($A170="","",IFERROR(VLOOKUP($A170,Artikelstamm!$B:$I,6,FALSE),""))</f>
        <v/>
      </c>
      <c r="F170" s="23" t="n"/>
      <c r="G170" s="21">
        <f>IF($A170="","",IF(COUNTIF(Artikelstamm!$B:$B,$A170)=0,"NEU – in Artikelstamm aufnehmen","OK"))</f>
        <v/>
      </c>
      <c r="H170" s="19" t="n"/>
    </row>
    <row r="171">
      <c r="A171" s="19" t="n"/>
      <c r="B171" s="21">
        <f>IF($A171="","",IFERROR(VLOOKUP($A171,Artikelstamm!$B:$I,2,FALSE),""))</f>
        <v/>
      </c>
      <c r="C171" s="21">
        <f>IF($A171="","",IFERROR(VLOOKUP($A171,Artikelstamm!$B:$I,3,FALSE),""))</f>
        <v/>
      </c>
      <c r="D171" s="22">
        <f>IF($A171="","",IFERROR(VLOOKUP($A171,Artikelstamm!$B:$I,4,FALSE),""))</f>
        <v/>
      </c>
      <c r="E171" s="21">
        <f>IF($A171="","",IFERROR(VLOOKUP($A171,Artikelstamm!$B:$I,6,FALSE),""))</f>
        <v/>
      </c>
      <c r="F171" s="23" t="n"/>
      <c r="G171" s="21">
        <f>IF($A171="","",IF(COUNTIF(Artikelstamm!$B:$B,$A171)=0,"NEU – in Artikelstamm aufnehmen","OK"))</f>
        <v/>
      </c>
      <c r="H171" s="19" t="n"/>
    </row>
    <row r="172">
      <c r="A172" s="19" t="n"/>
      <c r="B172" s="21">
        <f>IF($A172="","",IFERROR(VLOOKUP($A172,Artikelstamm!$B:$I,2,FALSE),""))</f>
        <v/>
      </c>
      <c r="C172" s="21">
        <f>IF($A172="","",IFERROR(VLOOKUP($A172,Artikelstamm!$B:$I,3,FALSE),""))</f>
        <v/>
      </c>
      <c r="D172" s="22">
        <f>IF($A172="","",IFERROR(VLOOKUP($A172,Artikelstamm!$B:$I,4,FALSE),""))</f>
        <v/>
      </c>
      <c r="E172" s="21">
        <f>IF($A172="","",IFERROR(VLOOKUP($A172,Artikelstamm!$B:$I,6,FALSE),""))</f>
        <v/>
      </c>
      <c r="F172" s="23" t="n"/>
      <c r="G172" s="21">
        <f>IF($A172="","",IF(COUNTIF(Artikelstamm!$B:$B,$A172)=0,"NEU – in Artikelstamm aufnehmen","OK"))</f>
        <v/>
      </c>
      <c r="H172" s="19" t="n"/>
    </row>
    <row r="173">
      <c r="A173" s="19" t="n"/>
      <c r="B173" s="21">
        <f>IF($A173="","",IFERROR(VLOOKUP($A173,Artikelstamm!$B:$I,2,FALSE),""))</f>
        <v/>
      </c>
      <c r="C173" s="21">
        <f>IF($A173="","",IFERROR(VLOOKUP($A173,Artikelstamm!$B:$I,3,FALSE),""))</f>
        <v/>
      </c>
      <c r="D173" s="22">
        <f>IF($A173="","",IFERROR(VLOOKUP($A173,Artikelstamm!$B:$I,4,FALSE),""))</f>
        <v/>
      </c>
      <c r="E173" s="21">
        <f>IF($A173="","",IFERROR(VLOOKUP($A173,Artikelstamm!$B:$I,6,FALSE),""))</f>
        <v/>
      </c>
      <c r="F173" s="23" t="n"/>
      <c r="G173" s="21">
        <f>IF($A173="","",IF(COUNTIF(Artikelstamm!$B:$B,$A173)=0,"NEU – in Artikelstamm aufnehmen","OK"))</f>
        <v/>
      </c>
      <c r="H173" s="19" t="n"/>
    </row>
    <row r="174">
      <c r="A174" s="19" t="n"/>
      <c r="B174" s="21">
        <f>IF($A174="","",IFERROR(VLOOKUP($A174,Artikelstamm!$B:$I,2,FALSE),""))</f>
        <v/>
      </c>
      <c r="C174" s="21">
        <f>IF($A174="","",IFERROR(VLOOKUP($A174,Artikelstamm!$B:$I,3,FALSE),""))</f>
        <v/>
      </c>
      <c r="D174" s="22">
        <f>IF($A174="","",IFERROR(VLOOKUP($A174,Artikelstamm!$B:$I,4,FALSE),""))</f>
        <v/>
      </c>
      <c r="E174" s="21">
        <f>IF($A174="","",IFERROR(VLOOKUP($A174,Artikelstamm!$B:$I,6,FALSE),""))</f>
        <v/>
      </c>
      <c r="F174" s="23" t="n"/>
      <c r="G174" s="21">
        <f>IF($A174="","",IF(COUNTIF(Artikelstamm!$B:$B,$A174)=0,"NEU – in Artikelstamm aufnehmen","OK"))</f>
        <v/>
      </c>
      <c r="H174" s="19" t="n"/>
    </row>
    <row r="175">
      <c r="A175" s="19" t="n"/>
      <c r="B175" s="21">
        <f>IF($A175="","",IFERROR(VLOOKUP($A175,Artikelstamm!$B:$I,2,FALSE),""))</f>
        <v/>
      </c>
      <c r="C175" s="21">
        <f>IF($A175="","",IFERROR(VLOOKUP($A175,Artikelstamm!$B:$I,3,FALSE),""))</f>
        <v/>
      </c>
      <c r="D175" s="22">
        <f>IF($A175="","",IFERROR(VLOOKUP($A175,Artikelstamm!$B:$I,4,FALSE),""))</f>
        <v/>
      </c>
      <c r="E175" s="21">
        <f>IF($A175="","",IFERROR(VLOOKUP($A175,Artikelstamm!$B:$I,6,FALSE),""))</f>
        <v/>
      </c>
      <c r="F175" s="23" t="n"/>
      <c r="G175" s="21">
        <f>IF($A175="","",IF(COUNTIF(Artikelstamm!$B:$B,$A175)=0,"NEU – in Artikelstamm aufnehmen","OK"))</f>
        <v/>
      </c>
      <c r="H175" s="19" t="n"/>
    </row>
    <row r="176">
      <c r="A176" s="19" t="n"/>
      <c r="B176" s="21">
        <f>IF($A176="","",IFERROR(VLOOKUP($A176,Artikelstamm!$B:$I,2,FALSE),""))</f>
        <v/>
      </c>
      <c r="C176" s="21">
        <f>IF($A176="","",IFERROR(VLOOKUP($A176,Artikelstamm!$B:$I,3,FALSE),""))</f>
        <v/>
      </c>
      <c r="D176" s="22">
        <f>IF($A176="","",IFERROR(VLOOKUP($A176,Artikelstamm!$B:$I,4,FALSE),""))</f>
        <v/>
      </c>
      <c r="E176" s="21">
        <f>IF($A176="","",IFERROR(VLOOKUP($A176,Artikelstamm!$B:$I,6,FALSE),""))</f>
        <v/>
      </c>
      <c r="F176" s="23" t="n"/>
      <c r="G176" s="21">
        <f>IF($A176="","",IF(COUNTIF(Artikelstamm!$B:$B,$A176)=0,"NEU – in Artikelstamm aufnehmen","OK"))</f>
        <v/>
      </c>
      <c r="H176" s="19" t="n"/>
    </row>
    <row r="177">
      <c r="A177" s="19" t="n"/>
      <c r="B177" s="21">
        <f>IF($A177="","",IFERROR(VLOOKUP($A177,Artikelstamm!$B:$I,2,FALSE),""))</f>
        <v/>
      </c>
      <c r="C177" s="21">
        <f>IF($A177="","",IFERROR(VLOOKUP($A177,Artikelstamm!$B:$I,3,FALSE),""))</f>
        <v/>
      </c>
      <c r="D177" s="22">
        <f>IF($A177="","",IFERROR(VLOOKUP($A177,Artikelstamm!$B:$I,4,FALSE),""))</f>
        <v/>
      </c>
      <c r="E177" s="21">
        <f>IF($A177="","",IFERROR(VLOOKUP($A177,Artikelstamm!$B:$I,6,FALSE),""))</f>
        <v/>
      </c>
      <c r="F177" s="23" t="n"/>
      <c r="G177" s="21">
        <f>IF($A177="","",IF(COUNTIF(Artikelstamm!$B:$B,$A177)=0,"NEU – in Artikelstamm aufnehmen","OK"))</f>
        <v/>
      </c>
      <c r="H177" s="19" t="n"/>
    </row>
    <row r="178">
      <c r="A178" s="19" t="n"/>
      <c r="B178" s="21">
        <f>IF($A178="","",IFERROR(VLOOKUP($A178,Artikelstamm!$B:$I,2,FALSE),""))</f>
        <v/>
      </c>
      <c r="C178" s="21">
        <f>IF($A178="","",IFERROR(VLOOKUP($A178,Artikelstamm!$B:$I,3,FALSE),""))</f>
        <v/>
      </c>
      <c r="D178" s="22">
        <f>IF($A178="","",IFERROR(VLOOKUP($A178,Artikelstamm!$B:$I,4,FALSE),""))</f>
        <v/>
      </c>
      <c r="E178" s="21">
        <f>IF($A178="","",IFERROR(VLOOKUP($A178,Artikelstamm!$B:$I,6,FALSE),""))</f>
        <v/>
      </c>
      <c r="F178" s="23" t="n"/>
      <c r="G178" s="21">
        <f>IF($A178="","",IF(COUNTIF(Artikelstamm!$B:$B,$A178)=0,"NEU – in Artikelstamm aufnehmen","OK"))</f>
        <v/>
      </c>
      <c r="H178" s="19" t="n"/>
    </row>
    <row r="179">
      <c r="A179" s="19" t="n"/>
      <c r="B179" s="21">
        <f>IF($A179="","",IFERROR(VLOOKUP($A179,Artikelstamm!$B:$I,2,FALSE),""))</f>
        <v/>
      </c>
      <c r="C179" s="21">
        <f>IF($A179="","",IFERROR(VLOOKUP($A179,Artikelstamm!$B:$I,3,FALSE),""))</f>
        <v/>
      </c>
      <c r="D179" s="22">
        <f>IF($A179="","",IFERROR(VLOOKUP($A179,Artikelstamm!$B:$I,4,FALSE),""))</f>
        <v/>
      </c>
      <c r="E179" s="21">
        <f>IF($A179="","",IFERROR(VLOOKUP($A179,Artikelstamm!$B:$I,6,FALSE),""))</f>
        <v/>
      </c>
      <c r="F179" s="23" t="n"/>
      <c r="G179" s="21">
        <f>IF($A179="","",IF(COUNTIF(Artikelstamm!$B:$B,$A179)=0,"NEU – in Artikelstamm aufnehmen","OK"))</f>
        <v/>
      </c>
      <c r="H179" s="19" t="n"/>
    </row>
    <row r="180">
      <c r="A180" s="19" t="n"/>
      <c r="B180" s="21">
        <f>IF($A180="","",IFERROR(VLOOKUP($A180,Artikelstamm!$B:$I,2,FALSE),""))</f>
        <v/>
      </c>
      <c r="C180" s="21">
        <f>IF($A180="","",IFERROR(VLOOKUP($A180,Artikelstamm!$B:$I,3,FALSE),""))</f>
        <v/>
      </c>
      <c r="D180" s="22">
        <f>IF($A180="","",IFERROR(VLOOKUP($A180,Artikelstamm!$B:$I,4,FALSE),""))</f>
        <v/>
      </c>
      <c r="E180" s="21">
        <f>IF($A180="","",IFERROR(VLOOKUP($A180,Artikelstamm!$B:$I,6,FALSE),""))</f>
        <v/>
      </c>
      <c r="F180" s="23" t="n"/>
      <c r="G180" s="21">
        <f>IF($A180="","",IF(COUNTIF(Artikelstamm!$B:$B,$A180)=0,"NEU – in Artikelstamm aufnehmen","OK"))</f>
        <v/>
      </c>
      <c r="H180" s="19" t="n"/>
    </row>
    <row r="181">
      <c r="A181" s="19" t="n"/>
      <c r="B181" s="21">
        <f>IF($A181="","",IFERROR(VLOOKUP($A181,Artikelstamm!$B:$I,2,FALSE),""))</f>
        <v/>
      </c>
      <c r="C181" s="21">
        <f>IF($A181="","",IFERROR(VLOOKUP($A181,Artikelstamm!$B:$I,3,FALSE),""))</f>
        <v/>
      </c>
      <c r="D181" s="22">
        <f>IF($A181="","",IFERROR(VLOOKUP($A181,Artikelstamm!$B:$I,4,FALSE),""))</f>
        <v/>
      </c>
      <c r="E181" s="21">
        <f>IF($A181="","",IFERROR(VLOOKUP($A181,Artikelstamm!$B:$I,6,FALSE),""))</f>
        <v/>
      </c>
      <c r="F181" s="23" t="n"/>
      <c r="G181" s="21">
        <f>IF($A181="","",IF(COUNTIF(Artikelstamm!$B:$B,$A181)=0,"NEU – in Artikelstamm aufnehmen","OK"))</f>
        <v/>
      </c>
      <c r="H181" s="19" t="n"/>
    </row>
    <row r="182">
      <c r="A182" s="19" t="n"/>
      <c r="B182" s="21">
        <f>IF($A182="","",IFERROR(VLOOKUP($A182,Artikelstamm!$B:$I,2,FALSE),""))</f>
        <v/>
      </c>
      <c r="C182" s="21">
        <f>IF($A182="","",IFERROR(VLOOKUP($A182,Artikelstamm!$B:$I,3,FALSE),""))</f>
        <v/>
      </c>
      <c r="D182" s="22">
        <f>IF($A182="","",IFERROR(VLOOKUP($A182,Artikelstamm!$B:$I,4,FALSE),""))</f>
        <v/>
      </c>
      <c r="E182" s="21">
        <f>IF($A182="","",IFERROR(VLOOKUP($A182,Artikelstamm!$B:$I,6,FALSE),""))</f>
        <v/>
      </c>
      <c r="F182" s="23" t="n"/>
      <c r="G182" s="21">
        <f>IF($A182="","",IF(COUNTIF(Artikelstamm!$B:$B,$A182)=0,"NEU – in Artikelstamm aufnehmen","OK"))</f>
        <v/>
      </c>
      <c r="H182" s="19" t="n"/>
    </row>
    <row r="183">
      <c r="A183" s="19" t="n"/>
      <c r="B183" s="21">
        <f>IF($A183="","",IFERROR(VLOOKUP($A183,Artikelstamm!$B:$I,2,FALSE),""))</f>
        <v/>
      </c>
      <c r="C183" s="21">
        <f>IF($A183="","",IFERROR(VLOOKUP($A183,Artikelstamm!$B:$I,3,FALSE),""))</f>
        <v/>
      </c>
      <c r="D183" s="22">
        <f>IF($A183="","",IFERROR(VLOOKUP($A183,Artikelstamm!$B:$I,4,FALSE),""))</f>
        <v/>
      </c>
      <c r="E183" s="21">
        <f>IF($A183="","",IFERROR(VLOOKUP($A183,Artikelstamm!$B:$I,6,FALSE),""))</f>
        <v/>
      </c>
      <c r="F183" s="23" t="n"/>
      <c r="G183" s="21">
        <f>IF($A183="","",IF(COUNTIF(Artikelstamm!$B:$B,$A183)=0,"NEU – in Artikelstamm aufnehmen","OK"))</f>
        <v/>
      </c>
      <c r="H183" s="19" t="n"/>
    </row>
    <row r="184">
      <c r="A184" s="19" t="n"/>
      <c r="B184" s="21">
        <f>IF($A184="","",IFERROR(VLOOKUP($A184,Artikelstamm!$B:$I,2,FALSE),""))</f>
        <v/>
      </c>
      <c r="C184" s="21">
        <f>IF($A184="","",IFERROR(VLOOKUP($A184,Artikelstamm!$B:$I,3,FALSE),""))</f>
        <v/>
      </c>
      <c r="D184" s="22">
        <f>IF($A184="","",IFERROR(VLOOKUP($A184,Artikelstamm!$B:$I,4,FALSE),""))</f>
        <v/>
      </c>
      <c r="E184" s="21">
        <f>IF($A184="","",IFERROR(VLOOKUP($A184,Artikelstamm!$B:$I,6,FALSE),""))</f>
        <v/>
      </c>
      <c r="F184" s="23" t="n"/>
      <c r="G184" s="21">
        <f>IF($A184="","",IF(COUNTIF(Artikelstamm!$B:$B,$A184)=0,"NEU – in Artikelstamm aufnehmen","OK"))</f>
        <v/>
      </c>
      <c r="H184" s="19" t="n"/>
    </row>
    <row r="185">
      <c r="A185" s="19" t="n"/>
      <c r="B185" s="21">
        <f>IF($A185="","",IFERROR(VLOOKUP($A185,Artikelstamm!$B:$I,2,FALSE),""))</f>
        <v/>
      </c>
      <c r="C185" s="21">
        <f>IF($A185="","",IFERROR(VLOOKUP($A185,Artikelstamm!$B:$I,3,FALSE),""))</f>
        <v/>
      </c>
      <c r="D185" s="22">
        <f>IF($A185="","",IFERROR(VLOOKUP($A185,Artikelstamm!$B:$I,4,FALSE),""))</f>
        <v/>
      </c>
      <c r="E185" s="21">
        <f>IF($A185="","",IFERROR(VLOOKUP($A185,Artikelstamm!$B:$I,6,FALSE),""))</f>
        <v/>
      </c>
      <c r="F185" s="23" t="n"/>
      <c r="G185" s="21">
        <f>IF($A185="","",IF(COUNTIF(Artikelstamm!$B:$B,$A185)=0,"NEU – in Artikelstamm aufnehmen","OK"))</f>
        <v/>
      </c>
      <c r="H185" s="19" t="n"/>
    </row>
    <row r="186">
      <c r="A186" s="19" t="n"/>
      <c r="B186" s="21">
        <f>IF($A186="","",IFERROR(VLOOKUP($A186,Artikelstamm!$B:$I,2,FALSE),""))</f>
        <v/>
      </c>
      <c r="C186" s="21">
        <f>IF($A186="","",IFERROR(VLOOKUP($A186,Artikelstamm!$B:$I,3,FALSE),""))</f>
        <v/>
      </c>
      <c r="D186" s="22">
        <f>IF($A186="","",IFERROR(VLOOKUP($A186,Artikelstamm!$B:$I,4,FALSE),""))</f>
        <v/>
      </c>
      <c r="E186" s="21">
        <f>IF($A186="","",IFERROR(VLOOKUP($A186,Artikelstamm!$B:$I,6,FALSE),""))</f>
        <v/>
      </c>
      <c r="F186" s="23" t="n"/>
      <c r="G186" s="21">
        <f>IF($A186="","",IF(COUNTIF(Artikelstamm!$B:$B,$A186)=0,"NEU – in Artikelstamm aufnehmen","OK"))</f>
        <v/>
      </c>
      <c r="H186" s="19" t="n"/>
    </row>
    <row r="187">
      <c r="A187" s="19" t="n"/>
      <c r="B187" s="21">
        <f>IF($A187="","",IFERROR(VLOOKUP($A187,Artikelstamm!$B:$I,2,FALSE),""))</f>
        <v/>
      </c>
      <c r="C187" s="21">
        <f>IF($A187="","",IFERROR(VLOOKUP($A187,Artikelstamm!$B:$I,3,FALSE),""))</f>
        <v/>
      </c>
      <c r="D187" s="22">
        <f>IF($A187="","",IFERROR(VLOOKUP($A187,Artikelstamm!$B:$I,4,FALSE),""))</f>
        <v/>
      </c>
      <c r="E187" s="21">
        <f>IF($A187="","",IFERROR(VLOOKUP($A187,Artikelstamm!$B:$I,6,FALSE),""))</f>
        <v/>
      </c>
      <c r="F187" s="23" t="n"/>
      <c r="G187" s="21">
        <f>IF($A187="","",IF(COUNTIF(Artikelstamm!$B:$B,$A187)=0,"NEU – in Artikelstamm aufnehmen","OK"))</f>
        <v/>
      </c>
      <c r="H187" s="19" t="n"/>
    </row>
    <row r="188">
      <c r="A188" s="19" t="n"/>
      <c r="B188" s="21">
        <f>IF($A188="","",IFERROR(VLOOKUP($A188,Artikelstamm!$B:$I,2,FALSE),""))</f>
        <v/>
      </c>
      <c r="C188" s="21">
        <f>IF($A188="","",IFERROR(VLOOKUP($A188,Artikelstamm!$B:$I,3,FALSE),""))</f>
        <v/>
      </c>
      <c r="D188" s="22">
        <f>IF($A188="","",IFERROR(VLOOKUP($A188,Artikelstamm!$B:$I,4,FALSE),""))</f>
        <v/>
      </c>
      <c r="E188" s="21">
        <f>IF($A188="","",IFERROR(VLOOKUP($A188,Artikelstamm!$B:$I,6,FALSE),""))</f>
        <v/>
      </c>
      <c r="F188" s="23" t="n"/>
      <c r="G188" s="21">
        <f>IF($A188="","",IF(COUNTIF(Artikelstamm!$B:$B,$A188)=0,"NEU – in Artikelstamm aufnehmen","OK"))</f>
        <v/>
      </c>
      <c r="H188" s="19" t="n"/>
    </row>
    <row r="189">
      <c r="A189" s="19" t="n"/>
      <c r="B189" s="21">
        <f>IF($A189="","",IFERROR(VLOOKUP($A189,Artikelstamm!$B:$I,2,FALSE),""))</f>
        <v/>
      </c>
      <c r="C189" s="21">
        <f>IF($A189="","",IFERROR(VLOOKUP($A189,Artikelstamm!$B:$I,3,FALSE),""))</f>
        <v/>
      </c>
      <c r="D189" s="22">
        <f>IF($A189="","",IFERROR(VLOOKUP($A189,Artikelstamm!$B:$I,4,FALSE),""))</f>
        <v/>
      </c>
      <c r="E189" s="21">
        <f>IF($A189="","",IFERROR(VLOOKUP($A189,Artikelstamm!$B:$I,6,FALSE),""))</f>
        <v/>
      </c>
      <c r="F189" s="23" t="n"/>
      <c r="G189" s="21">
        <f>IF($A189="","",IF(COUNTIF(Artikelstamm!$B:$B,$A189)=0,"NEU – in Artikelstamm aufnehmen","OK"))</f>
        <v/>
      </c>
      <c r="H189" s="19" t="n"/>
    </row>
    <row r="190">
      <c r="A190" s="19" t="n"/>
      <c r="B190" s="21">
        <f>IF($A190="","",IFERROR(VLOOKUP($A190,Artikelstamm!$B:$I,2,FALSE),""))</f>
        <v/>
      </c>
      <c r="C190" s="21">
        <f>IF($A190="","",IFERROR(VLOOKUP($A190,Artikelstamm!$B:$I,3,FALSE),""))</f>
        <v/>
      </c>
      <c r="D190" s="22">
        <f>IF($A190="","",IFERROR(VLOOKUP($A190,Artikelstamm!$B:$I,4,FALSE),""))</f>
        <v/>
      </c>
      <c r="E190" s="21">
        <f>IF($A190="","",IFERROR(VLOOKUP($A190,Artikelstamm!$B:$I,6,FALSE),""))</f>
        <v/>
      </c>
      <c r="F190" s="23" t="n"/>
      <c r="G190" s="21">
        <f>IF($A190="","",IF(COUNTIF(Artikelstamm!$B:$B,$A190)=0,"NEU – in Artikelstamm aufnehmen","OK"))</f>
        <v/>
      </c>
      <c r="H190" s="19" t="n"/>
    </row>
    <row r="191">
      <c r="A191" s="19" t="n"/>
      <c r="B191" s="21">
        <f>IF($A191="","",IFERROR(VLOOKUP($A191,Artikelstamm!$B:$I,2,FALSE),""))</f>
        <v/>
      </c>
      <c r="C191" s="21">
        <f>IF($A191="","",IFERROR(VLOOKUP($A191,Artikelstamm!$B:$I,3,FALSE),""))</f>
        <v/>
      </c>
      <c r="D191" s="22">
        <f>IF($A191="","",IFERROR(VLOOKUP($A191,Artikelstamm!$B:$I,4,FALSE),""))</f>
        <v/>
      </c>
      <c r="E191" s="21">
        <f>IF($A191="","",IFERROR(VLOOKUP($A191,Artikelstamm!$B:$I,6,FALSE),""))</f>
        <v/>
      </c>
      <c r="F191" s="23" t="n"/>
      <c r="G191" s="21">
        <f>IF($A191="","",IF(COUNTIF(Artikelstamm!$B:$B,$A191)=0,"NEU – in Artikelstamm aufnehmen","OK"))</f>
        <v/>
      </c>
      <c r="H191" s="19" t="n"/>
    </row>
    <row r="192">
      <c r="A192" s="19" t="n"/>
      <c r="B192" s="21">
        <f>IF($A192="","",IFERROR(VLOOKUP($A192,Artikelstamm!$B:$I,2,FALSE),""))</f>
        <v/>
      </c>
      <c r="C192" s="21">
        <f>IF($A192="","",IFERROR(VLOOKUP($A192,Artikelstamm!$B:$I,3,FALSE),""))</f>
        <v/>
      </c>
      <c r="D192" s="22">
        <f>IF($A192="","",IFERROR(VLOOKUP($A192,Artikelstamm!$B:$I,4,FALSE),""))</f>
        <v/>
      </c>
      <c r="E192" s="21">
        <f>IF($A192="","",IFERROR(VLOOKUP($A192,Artikelstamm!$B:$I,6,FALSE),""))</f>
        <v/>
      </c>
      <c r="F192" s="23" t="n"/>
      <c r="G192" s="21">
        <f>IF($A192="","",IF(COUNTIF(Artikelstamm!$B:$B,$A192)=0,"NEU – in Artikelstamm aufnehmen","OK"))</f>
        <v/>
      </c>
      <c r="H192" s="19" t="n"/>
    </row>
    <row r="193">
      <c r="A193" s="19" t="n"/>
      <c r="B193" s="21">
        <f>IF($A193="","",IFERROR(VLOOKUP($A193,Artikelstamm!$B:$I,2,FALSE),""))</f>
        <v/>
      </c>
      <c r="C193" s="21">
        <f>IF($A193="","",IFERROR(VLOOKUP($A193,Artikelstamm!$B:$I,3,FALSE),""))</f>
        <v/>
      </c>
      <c r="D193" s="22">
        <f>IF($A193="","",IFERROR(VLOOKUP($A193,Artikelstamm!$B:$I,4,FALSE),""))</f>
        <v/>
      </c>
      <c r="E193" s="21">
        <f>IF($A193="","",IFERROR(VLOOKUP($A193,Artikelstamm!$B:$I,6,FALSE),""))</f>
        <v/>
      </c>
      <c r="F193" s="23" t="n"/>
      <c r="G193" s="21">
        <f>IF($A193="","",IF(COUNTIF(Artikelstamm!$B:$B,$A193)=0,"NEU – in Artikelstamm aufnehmen","OK"))</f>
        <v/>
      </c>
      <c r="H193" s="19" t="n"/>
    </row>
    <row r="194">
      <c r="A194" s="19" t="n"/>
      <c r="B194" s="21">
        <f>IF($A194="","",IFERROR(VLOOKUP($A194,Artikelstamm!$B:$I,2,FALSE),""))</f>
        <v/>
      </c>
      <c r="C194" s="21">
        <f>IF($A194="","",IFERROR(VLOOKUP($A194,Artikelstamm!$B:$I,3,FALSE),""))</f>
        <v/>
      </c>
      <c r="D194" s="22">
        <f>IF($A194="","",IFERROR(VLOOKUP($A194,Artikelstamm!$B:$I,4,FALSE),""))</f>
        <v/>
      </c>
      <c r="E194" s="21">
        <f>IF($A194="","",IFERROR(VLOOKUP($A194,Artikelstamm!$B:$I,6,FALSE),""))</f>
        <v/>
      </c>
      <c r="F194" s="23" t="n"/>
      <c r="G194" s="21">
        <f>IF($A194="","",IF(COUNTIF(Artikelstamm!$B:$B,$A194)=0,"NEU – in Artikelstamm aufnehmen","OK"))</f>
        <v/>
      </c>
      <c r="H194" s="19" t="n"/>
    </row>
    <row r="195">
      <c r="A195" s="19" t="n"/>
      <c r="B195" s="21">
        <f>IF($A195="","",IFERROR(VLOOKUP($A195,Artikelstamm!$B:$I,2,FALSE),""))</f>
        <v/>
      </c>
      <c r="C195" s="21">
        <f>IF($A195="","",IFERROR(VLOOKUP($A195,Artikelstamm!$B:$I,3,FALSE),""))</f>
        <v/>
      </c>
      <c r="D195" s="22">
        <f>IF($A195="","",IFERROR(VLOOKUP($A195,Artikelstamm!$B:$I,4,FALSE),""))</f>
        <v/>
      </c>
      <c r="E195" s="21">
        <f>IF($A195="","",IFERROR(VLOOKUP($A195,Artikelstamm!$B:$I,6,FALSE),""))</f>
        <v/>
      </c>
      <c r="F195" s="23" t="n"/>
      <c r="G195" s="21">
        <f>IF($A195="","",IF(COUNTIF(Artikelstamm!$B:$B,$A195)=0,"NEU – in Artikelstamm aufnehmen","OK"))</f>
        <v/>
      </c>
      <c r="H195" s="19" t="n"/>
    </row>
    <row r="196">
      <c r="A196" s="19" t="n"/>
      <c r="B196" s="21">
        <f>IF($A196="","",IFERROR(VLOOKUP($A196,Artikelstamm!$B:$I,2,FALSE),""))</f>
        <v/>
      </c>
      <c r="C196" s="21">
        <f>IF($A196="","",IFERROR(VLOOKUP($A196,Artikelstamm!$B:$I,3,FALSE),""))</f>
        <v/>
      </c>
      <c r="D196" s="22">
        <f>IF($A196="","",IFERROR(VLOOKUP($A196,Artikelstamm!$B:$I,4,FALSE),""))</f>
        <v/>
      </c>
      <c r="E196" s="21">
        <f>IF($A196="","",IFERROR(VLOOKUP($A196,Artikelstamm!$B:$I,6,FALSE),""))</f>
        <v/>
      </c>
      <c r="F196" s="23" t="n"/>
      <c r="G196" s="21">
        <f>IF($A196="","",IF(COUNTIF(Artikelstamm!$B:$B,$A196)=0,"NEU – in Artikelstamm aufnehmen","OK"))</f>
        <v/>
      </c>
      <c r="H196" s="19" t="n"/>
    </row>
    <row r="197">
      <c r="A197" s="19" t="n"/>
      <c r="B197" s="21">
        <f>IF($A197="","",IFERROR(VLOOKUP($A197,Artikelstamm!$B:$I,2,FALSE),""))</f>
        <v/>
      </c>
      <c r="C197" s="21">
        <f>IF($A197="","",IFERROR(VLOOKUP($A197,Artikelstamm!$B:$I,3,FALSE),""))</f>
        <v/>
      </c>
      <c r="D197" s="22">
        <f>IF($A197="","",IFERROR(VLOOKUP($A197,Artikelstamm!$B:$I,4,FALSE),""))</f>
        <v/>
      </c>
      <c r="E197" s="21">
        <f>IF($A197="","",IFERROR(VLOOKUP($A197,Artikelstamm!$B:$I,6,FALSE),""))</f>
        <v/>
      </c>
      <c r="F197" s="23" t="n"/>
      <c r="G197" s="21">
        <f>IF($A197="","",IF(COUNTIF(Artikelstamm!$B:$B,$A197)=0,"NEU – in Artikelstamm aufnehmen","OK"))</f>
        <v/>
      </c>
      <c r="H197" s="19" t="n"/>
    </row>
    <row r="198">
      <c r="A198" s="19" t="n"/>
      <c r="B198" s="21">
        <f>IF($A198="","",IFERROR(VLOOKUP($A198,Artikelstamm!$B:$I,2,FALSE),""))</f>
        <v/>
      </c>
      <c r="C198" s="21">
        <f>IF($A198="","",IFERROR(VLOOKUP($A198,Artikelstamm!$B:$I,3,FALSE),""))</f>
        <v/>
      </c>
      <c r="D198" s="22">
        <f>IF($A198="","",IFERROR(VLOOKUP($A198,Artikelstamm!$B:$I,4,FALSE),""))</f>
        <v/>
      </c>
      <c r="E198" s="21">
        <f>IF($A198="","",IFERROR(VLOOKUP($A198,Artikelstamm!$B:$I,6,FALSE),""))</f>
        <v/>
      </c>
      <c r="F198" s="23" t="n"/>
      <c r="G198" s="21">
        <f>IF($A198="","",IF(COUNTIF(Artikelstamm!$B:$B,$A198)=0,"NEU – in Artikelstamm aufnehmen","OK"))</f>
        <v/>
      </c>
      <c r="H198" s="19" t="n"/>
    </row>
    <row r="199">
      <c r="A199" s="19" t="n"/>
      <c r="B199" s="21">
        <f>IF($A199="","",IFERROR(VLOOKUP($A199,Artikelstamm!$B:$I,2,FALSE),""))</f>
        <v/>
      </c>
      <c r="C199" s="21">
        <f>IF($A199="","",IFERROR(VLOOKUP($A199,Artikelstamm!$B:$I,3,FALSE),""))</f>
        <v/>
      </c>
      <c r="D199" s="22">
        <f>IF($A199="","",IFERROR(VLOOKUP($A199,Artikelstamm!$B:$I,4,FALSE),""))</f>
        <v/>
      </c>
      <c r="E199" s="21">
        <f>IF($A199="","",IFERROR(VLOOKUP($A199,Artikelstamm!$B:$I,6,FALSE),""))</f>
        <v/>
      </c>
      <c r="F199" s="23" t="n"/>
      <c r="G199" s="21">
        <f>IF($A199="","",IF(COUNTIF(Artikelstamm!$B:$B,$A199)=0,"NEU – in Artikelstamm aufnehmen","OK"))</f>
        <v/>
      </c>
      <c r="H199" s="19" t="n"/>
    </row>
    <row r="200">
      <c r="A200" s="19" t="n"/>
      <c r="B200" s="21">
        <f>IF($A200="","",IFERROR(VLOOKUP($A200,Artikelstamm!$B:$I,2,FALSE),""))</f>
        <v/>
      </c>
      <c r="C200" s="21">
        <f>IF($A200="","",IFERROR(VLOOKUP($A200,Artikelstamm!$B:$I,3,FALSE),""))</f>
        <v/>
      </c>
      <c r="D200" s="22">
        <f>IF($A200="","",IFERROR(VLOOKUP($A200,Artikelstamm!$B:$I,4,FALSE),""))</f>
        <v/>
      </c>
      <c r="E200" s="21">
        <f>IF($A200="","",IFERROR(VLOOKUP($A200,Artikelstamm!$B:$I,6,FALSE),""))</f>
        <v/>
      </c>
      <c r="F200" s="23" t="n"/>
      <c r="G200" s="21">
        <f>IF($A200="","",IF(COUNTIF(Artikelstamm!$B:$B,$A200)=0,"NEU – in Artikelstamm aufnehmen","OK"))</f>
        <v/>
      </c>
      <c r="H200" s="19" t="n"/>
    </row>
    <row r="201">
      <c r="A201" s="19" t="n"/>
      <c r="B201" s="21">
        <f>IF($A201="","",IFERROR(VLOOKUP($A201,Artikelstamm!$B:$I,2,FALSE),""))</f>
        <v/>
      </c>
      <c r="C201" s="21">
        <f>IF($A201="","",IFERROR(VLOOKUP($A201,Artikelstamm!$B:$I,3,FALSE),""))</f>
        <v/>
      </c>
      <c r="D201" s="22">
        <f>IF($A201="","",IFERROR(VLOOKUP($A201,Artikelstamm!$B:$I,4,FALSE),""))</f>
        <v/>
      </c>
      <c r="E201" s="21">
        <f>IF($A201="","",IFERROR(VLOOKUP($A201,Artikelstamm!$B:$I,6,FALSE),""))</f>
        <v/>
      </c>
      <c r="F201" s="23" t="n"/>
      <c r="G201" s="21">
        <f>IF($A201="","",IF(COUNTIF(Artikelstamm!$B:$B,$A201)=0,"NEU – in Artikelstamm aufnehmen","OK"))</f>
        <v/>
      </c>
      <c r="H201" s="19" t="n"/>
    </row>
    <row r="202">
      <c r="A202" s="19" t="n"/>
      <c r="B202" s="21">
        <f>IF($A202="","",IFERROR(VLOOKUP($A202,Artikelstamm!$B:$I,2,FALSE),""))</f>
        <v/>
      </c>
      <c r="C202" s="21">
        <f>IF($A202="","",IFERROR(VLOOKUP($A202,Artikelstamm!$B:$I,3,FALSE),""))</f>
        <v/>
      </c>
      <c r="D202" s="22">
        <f>IF($A202="","",IFERROR(VLOOKUP($A202,Artikelstamm!$B:$I,4,FALSE),""))</f>
        <v/>
      </c>
      <c r="E202" s="21">
        <f>IF($A202="","",IFERROR(VLOOKUP($A202,Artikelstamm!$B:$I,6,FALSE),""))</f>
        <v/>
      </c>
      <c r="F202" s="23" t="n"/>
      <c r="G202" s="21">
        <f>IF($A202="","",IF(COUNTIF(Artikelstamm!$B:$B,$A202)=0,"NEU – in Artikelstamm aufnehmen","OK"))</f>
        <v/>
      </c>
      <c r="H202" s="19" t="n"/>
    </row>
    <row r="203">
      <c r="A203" s="19" t="n"/>
      <c r="B203" s="21">
        <f>IF($A203="","",IFERROR(VLOOKUP($A203,Artikelstamm!$B:$I,2,FALSE),""))</f>
        <v/>
      </c>
      <c r="C203" s="21">
        <f>IF($A203="","",IFERROR(VLOOKUP($A203,Artikelstamm!$B:$I,3,FALSE),""))</f>
        <v/>
      </c>
      <c r="D203" s="22">
        <f>IF($A203="","",IFERROR(VLOOKUP($A203,Artikelstamm!$B:$I,4,FALSE),""))</f>
        <v/>
      </c>
      <c r="E203" s="21">
        <f>IF($A203="","",IFERROR(VLOOKUP($A203,Artikelstamm!$B:$I,6,FALSE),""))</f>
        <v/>
      </c>
      <c r="F203" s="23" t="n"/>
      <c r="G203" s="21">
        <f>IF($A203="","",IF(COUNTIF(Artikelstamm!$B:$B,$A203)=0,"NEU – in Artikelstamm aufnehmen","OK"))</f>
        <v/>
      </c>
      <c r="H203" s="19" t="n"/>
    </row>
    <row r="204">
      <c r="A204" s="19" t="n"/>
      <c r="B204" s="21">
        <f>IF($A204="","",IFERROR(VLOOKUP($A204,Artikelstamm!$B:$I,2,FALSE),""))</f>
        <v/>
      </c>
      <c r="C204" s="21">
        <f>IF($A204="","",IFERROR(VLOOKUP($A204,Artikelstamm!$B:$I,3,FALSE),""))</f>
        <v/>
      </c>
      <c r="D204" s="22">
        <f>IF($A204="","",IFERROR(VLOOKUP($A204,Artikelstamm!$B:$I,4,FALSE),""))</f>
        <v/>
      </c>
      <c r="E204" s="21">
        <f>IF($A204="","",IFERROR(VLOOKUP($A204,Artikelstamm!$B:$I,6,FALSE),""))</f>
        <v/>
      </c>
      <c r="F204" s="23" t="n"/>
      <c r="G204" s="21">
        <f>IF($A204="","",IF(COUNTIF(Artikelstamm!$B:$B,$A204)=0,"NEU – in Artikelstamm aufnehmen","OK"))</f>
        <v/>
      </c>
      <c r="H204" s="19" t="n"/>
    </row>
    <row r="205">
      <c r="A205" s="19" t="n"/>
      <c r="B205" s="21">
        <f>IF($A205="","",IFERROR(VLOOKUP($A205,Artikelstamm!$B:$I,2,FALSE),""))</f>
        <v/>
      </c>
      <c r="C205" s="21">
        <f>IF($A205="","",IFERROR(VLOOKUP($A205,Artikelstamm!$B:$I,3,FALSE),""))</f>
        <v/>
      </c>
      <c r="D205" s="22">
        <f>IF($A205="","",IFERROR(VLOOKUP($A205,Artikelstamm!$B:$I,4,FALSE),""))</f>
        <v/>
      </c>
      <c r="E205" s="21">
        <f>IF($A205="","",IFERROR(VLOOKUP($A205,Artikelstamm!$B:$I,6,FALSE),""))</f>
        <v/>
      </c>
      <c r="F205" s="23" t="n"/>
      <c r="G205" s="21">
        <f>IF($A205="","",IF(COUNTIF(Artikelstamm!$B:$B,$A205)=0,"NEU – in Artikelstamm aufnehmen","OK"))</f>
        <v/>
      </c>
      <c r="H205" s="19" t="n"/>
    </row>
    <row r="206">
      <c r="A206" s="19" t="n"/>
      <c r="B206" s="21">
        <f>IF($A206="","",IFERROR(VLOOKUP($A206,Artikelstamm!$B:$I,2,FALSE),""))</f>
        <v/>
      </c>
      <c r="C206" s="21">
        <f>IF($A206="","",IFERROR(VLOOKUP($A206,Artikelstamm!$B:$I,3,FALSE),""))</f>
        <v/>
      </c>
      <c r="D206" s="22">
        <f>IF($A206="","",IFERROR(VLOOKUP($A206,Artikelstamm!$B:$I,4,FALSE),""))</f>
        <v/>
      </c>
      <c r="E206" s="21">
        <f>IF($A206="","",IFERROR(VLOOKUP($A206,Artikelstamm!$B:$I,6,FALSE),""))</f>
        <v/>
      </c>
      <c r="F206" s="23" t="n"/>
      <c r="G206" s="21">
        <f>IF($A206="","",IF(COUNTIF(Artikelstamm!$B:$B,$A206)=0,"NEU – in Artikelstamm aufnehmen","OK"))</f>
        <v/>
      </c>
      <c r="H206" s="19" t="n"/>
    </row>
    <row r="207">
      <c r="A207" s="19" t="n"/>
      <c r="B207" s="21">
        <f>IF($A207="","",IFERROR(VLOOKUP($A207,Artikelstamm!$B:$I,2,FALSE),""))</f>
        <v/>
      </c>
      <c r="C207" s="21">
        <f>IF($A207="","",IFERROR(VLOOKUP($A207,Artikelstamm!$B:$I,3,FALSE),""))</f>
        <v/>
      </c>
      <c r="D207" s="22">
        <f>IF($A207="","",IFERROR(VLOOKUP($A207,Artikelstamm!$B:$I,4,FALSE),""))</f>
        <v/>
      </c>
      <c r="E207" s="21">
        <f>IF($A207="","",IFERROR(VLOOKUP($A207,Artikelstamm!$B:$I,6,FALSE),""))</f>
        <v/>
      </c>
      <c r="F207" s="23" t="n"/>
      <c r="G207" s="21">
        <f>IF($A207="","",IF(COUNTIF(Artikelstamm!$B:$B,$A207)=0,"NEU – in Artikelstamm aufnehmen","OK"))</f>
        <v/>
      </c>
      <c r="H207" s="19" t="n"/>
    </row>
    <row r="208">
      <c r="A208" s="19" t="n"/>
      <c r="B208" s="21">
        <f>IF($A208="","",IFERROR(VLOOKUP($A208,Artikelstamm!$B:$I,2,FALSE),""))</f>
        <v/>
      </c>
      <c r="C208" s="21">
        <f>IF($A208="","",IFERROR(VLOOKUP($A208,Artikelstamm!$B:$I,3,FALSE),""))</f>
        <v/>
      </c>
      <c r="D208" s="22">
        <f>IF($A208="","",IFERROR(VLOOKUP($A208,Artikelstamm!$B:$I,4,FALSE),""))</f>
        <v/>
      </c>
      <c r="E208" s="21">
        <f>IF($A208="","",IFERROR(VLOOKUP($A208,Artikelstamm!$B:$I,6,FALSE),""))</f>
        <v/>
      </c>
      <c r="F208" s="23" t="n"/>
      <c r="G208" s="21">
        <f>IF($A208="","",IF(COUNTIF(Artikelstamm!$B:$B,$A208)=0,"NEU – in Artikelstamm aufnehmen","OK"))</f>
        <v/>
      </c>
      <c r="H208" s="19" t="n"/>
    </row>
    <row r="209">
      <c r="A209" s="19" t="n"/>
      <c r="B209" s="21">
        <f>IF($A209="","",IFERROR(VLOOKUP($A209,Artikelstamm!$B:$I,2,FALSE),""))</f>
        <v/>
      </c>
      <c r="C209" s="21">
        <f>IF($A209="","",IFERROR(VLOOKUP($A209,Artikelstamm!$B:$I,3,FALSE),""))</f>
        <v/>
      </c>
      <c r="D209" s="22">
        <f>IF($A209="","",IFERROR(VLOOKUP($A209,Artikelstamm!$B:$I,4,FALSE),""))</f>
        <v/>
      </c>
      <c r="E209" s="21">
        <f>IF($A209="","",IFERROR(VLOOKUP($A209,Artikelstamm!$B:$I,6,FALSE),""))</f>
        <v/>
      </c>
      <c r="F209" s="23" t="n"/>
      <c r="G209" s="21">
        <f>IF($A209="","",IF(COUNTIF(Artikelstamm!$B:$B,$A209)=0,"NEU – in Artikelstamm aufnehmen","OK"))</f>
        <v/>
      </c>
      <c r="H209" s="19" t="n"/>
    </row>
    <row r="210">
      <c r="A210" s="19" t="n"/>
      <c r="B210" s="21">
        <f>IF($A210="","",IFERROR(VLOOKUP($A210,Artikelstamm!$B:$I,2,FALSE),""))</f>
        <v/>
      </c>
      <c r="C210" s="21">
        <f>IF($A210="","",IFERROR(VLOOKUP($A210,Artikelstamm!$B:$I,3,FALSE),""))</f>
        <v/>
      </c>
      <c r="D210" s="22">
        <f>IF($A210="","",IFERROR(VLOOKUP($A210,Artikelstamm!$B:$I,4,FALSE),""))</f>
        <v/>
      </c>
      <c r="E210" s="21">
        <f>IF($A210="","",IFERROR(VLOOKUP($A210,Artikelstamm!$B:$I,6,FALSE),""))</f>
        <v/>
      </c>
      <c r="F210" s="23" t="n"/>
      <c r="G210" s="21">
        <f>IF($A210="","",IF(COUNTIF(Artikelstamm!$B:$B,$A210)=0,"NEU – in Artikelstamm aufnehmen","OK"))</f>
        <v/>
      </c>
      <c r="H210" s="19" t="n"/>
    </row>
    <row r="211">
      <c r="A211" s="19" t="n"/>
      <c r="B211" s="21">
        <f>IF($A211="","",IFERROR(VLOOKUP($A211,Artikelstamm!$B:$I,2,FALSE),""))</f>
        <v/>
      </c>
      <c r="C211" s="21">
        <f>IF($A211="","",IFERROR(VLOOKUP($A211,Artikelstamm!$B:$I,3,FALSE),""))</f>
        <v/>
      </c>
      <c r="D211" s="22">
        <f>IF($A211="","",IFERROR(VLOOKUP($A211,Artikelstamm!$B:$I,4,FALSE),""))</f>
        <v/>
      </c>
      <c r="E211" s="21">
        <f>IF($A211="","",IFERROR(VLOOKUP($A211,Artikelstamm!$B:$I,6,FALSE),""))</f>
        <v/>
      </c>
      <c r="F211" s="23" t="n"/>
      <c r="G211" s="21">
        <f>IF($A211="","",IF(COUNTIF(Artikelstamm!$B:$B,$A211)=0,"NEU – in Artikelstamm aufnehmen","OK"))</f>
        <v/>
      </c>
      <c r="H211" s="19" t="n"/>
    </row>
    <row r="212">
      <c r="A212" s="19" t="n"/>
      <c r="B212" s="21">
        <f>IF($A212="","",IFERROR(VLOOKUP($A212,Artikelstamm!$B:$I,2,FALSE),""))</f>
        <v/>
      </c>
      <c r="C212" s="21">
        <f>IF($A212="","",IFERROR(VLOOKUP($A212,Artikelstamm!$B:$I,3,FALSE),""))</f>
        <v/>
      </c>
      <c r="D212" s="22">
        <f>IF($A212="","",IFERROR(VLOOKUP($A212,Artikelstamm!$B:$I,4,FALSE),""))</f>
        <v/>
      </c>
      <c r="E212" s="21">
        <f>IF($A212="","",IFERROR(VLOOKUP($A212,Artikelstamm!$B:$I,6,FALSE),""))</f>
        <v/>
      </c>
      <c r="F212" s="23" t="n"/>
      <c r="G212" s="21">
        <f>IF($A212="","",IF(COUNTIF(Artikelstamm!$B:$B,$A212)=0,"NEU – in Artikelstamm aufnehmen","OK"))</f>
        <v/>
      </c>
      <c r="H212" s="19" t="n"/>
    </row>
    <row r="213">
      <c r="A213" s="19" t="n"/>
      <c r="B213" s="21">
        <f>IF($A213="","",IFERROR(VLOOKUP($A213,Artikelstamm!$B:$I,2,FALSE),""))</f>
        <v/>
      </c>
      <c r="C213" s="21">
        <f>IF($A213="","",IFERROR(VLOOKUP($A213,Artikelstamm!$B:$I,3,FALSE),""))</f>
        <v/>
      </c>
      <c r="D213" s="22">
        <f>IF($A213="","",IFERROR(VLOOKUP($A213,Artikelstamm!$B:$I,4,FALSE),""))</f>
        <v/>
      </c>
      <c r="E213" s="21">
        <f>IF($A213="","",IFERROR(VLOOKUP($A213,Artikelstamm!$B:$I,6,FALSE),""))</f>
        <v/>
      </c>
      <c r="F213" s="23" t="n"/>
      <c r="G213" s="21">
        <f>IF($A213="","",IF(COUNTIF(Artikelstamm!$B:$B,$A213)=0,"NEU – in Artikelstamm aufnehmen","OK"))</f>
        <v/>
      </c>
      <c r="H213" s="19" t="n"/>
    </row>
    <row r="214">
      <c r="A214" s="19" t="n"/>
      <c r="B214" s="21">
        <f>IF($A214="","",IFERROR(VLOOKUP($A214,Artikelstamm!$B:$I,2,FALSE),""))</f>
        <v/>
      </c>
      <c r="C214" s="21">
        <f>IF($A214="","",IFERROR(VLOOKUP($A214,Artikelstamm!$B:$I,3,FALSE),""))</f>
        <v/>
      </c>
      <c r="D214" s="22">
        <f>IF($A214="","",IFERROR(VLOOKUP($A214,Artikelstamm!$B:$I,4,FALSE),""))</f>
        <v/>
      </c>
      <c r="E214" s="21">
        <f>IF($A214="","",IFERROR(VLOOKUP($A214,Artikelstamm!$B:$I,6,FALSE),""))</f>
        <v/>
      </c>
      <c r="F214" s="23" t="n"/>
      <c r="G214" s="21">
        <f>IF($A214="","",IF(COUNTIF(Artikelstamm!$B:$B,$A214)=0,"NEU – in Artikelstamm aufnehmen","OK"))</f>
        <v/>
      </c>
      <c r="H214" s="19" t="n"/>
    </row>
    <row r="215">
      <c r="A215" s="19" t="n"/>
      <c r="B215" s="21">
        <f>IF($A215="","",IFERROR(VLOOKUP($A215,Artikelstamm!$B:$I,2,FALSE),""))</f>
        <v/>
      </c>
      <c r="C215" s="21">
        <f>IF($A215="","",IFERROR(VLOOKUP($A215,Artikelstamm!$B:$I,3,FALSE),""))</f>
        <v/>
      </c>
      <c r="D215" s="22">
        <f>IF($A215="","",IFERROR(VLOOKUP($A215,Artikelstamm!$B:$I,4,FALSE),""))</f>
        <v/>
      </c>
      <c r="E215" s="21">
        <f>IF($A215="","",IFERROR(VLOOKUP($A215,Artikelstamm!$B:$I,6,FALSE),""))</f>
        <v/>
      </c>
      <c r="F215" s="23" t="n"/>
      <c r="G215" s="21">
        <f>IF($A215="","",IF(COUNTIF(Artikelstamm!$B:$B,$A215)=0,"NEU – in Artikelstamm aufnehmen","OK"))</f>
        <v/>
      </c>
      <c r="H215" s="19" t="n"/>
    </row>
    <row r="216">
      <c r="A216" s="19" t="n"/>
      <c r="B216" s="21">
        <f>IF($A216="","",IFERROR(VLOOKUP($A216,Artikelstamm!$B:$I,2,FALSE),""))</f>
        <v/>
      </c>
      <c r="C216" s="21">
        <f>IF($A216="","",IFERROR(VLOOKUP($A216,Artikelstamm!$B:$I,3,FALSE),""))</f>
        <v/>
      </c>
      <c r="D216" s="22">
        <f>IF($A216="","",IFERROR(VLOOKUP($A216,Artikelstamm!$B:$I,4,FALSE),""))</f>
        <v/>
      </c>
      <c r="E216" s="21">
        <f>IF($A216="","",IFERROR(VLOOKUP($A216,Artikelstamm!$B:$I,6,FALSE),""))</f>
        <v/>
      </c>
      <c r="F216" s="23" t="n"/>
      <c r="G216" s="21">
        <f>IF($A216="","",IF(COUNTIF(Artikelstamm!$B:$B,$A216)=0,"NEU – in Artikelstamm aufnehmen","OK"))</f>
        <v/>
      </c>
      <c r="H216" s="19" t="n"/>
    </row>
    <row r="217">
      <c r="A217" s="19" t="n"/>
      <c r="B217" s="21">
        <f>IF($A217="","",IFERROR(VLOOKUP($A217,Artikelstamm!$B:$I,2,FALSE),""))</f>
        <v/>
      </c>
      <c r="C217" s="21">
        <f>IF($A217="","",IFERROR(VLOOKUP($A217,Artikelstamm!$B:$I,3,FALSE),""))</f>
        <v/>
      </c>
      <c r="D217" s="22">
        <f>IF($A217="","",IFERROR(VLOOKUP($A217,Artikelstamm!$B:$I,4,FALSE),""))</f>
        <v/>
      </c>
      <c r="E217" s="21">
        <f>IF($A217="","",IFERROR(VLOOKUP($A217,Artikelstamm!$B:$I,6,FALSE),""))</f>
        <v/>
      </c>
      <c r="F217" s="23" t="n"/>
      <c r="G217" s="21">
        <f>IF($A217="","",IF(COUNTIF(Artikelstamm!$B:$B,$A217)=0,"NEU – in Artikelstamm aufnehmen","OK"))</f>
        <v/>
      </c>
      <c r="H217" s="19" t="n"/>
    </row>
    <row r="218">
      <c r="A218" s="19" t="n"/>
      <c r="B218" s="21">
        <f>IF($A218="","",IFERROR(VLOOKUP($A218,Artikelstamm!$B:$I,2,FALSE),""))</f>
        <v/>
      </c>
      <c r="C218" s="21">
        <f>IF($A218="","",IFERROR(VLOOKUP($A218,Artikelstamm!$B:$I,3,FALSE),""))</f>
        <v/>
      </c>
      <c r="D218" s="22">
        <f>IF($A218="","",IFERROR(VLOOKUP($A218,Artikelstamm!$B:$I,4,FALSE),""))</f>
        <v/>
      </c>
      <c r="E218" s="21">
        <f>IF($A218="","",IFERROR(VLOOKUP($A218,Artikelstamm!$B:$I,6,FALSE),""))</f>
        <v/>
      </c>
      <c r="F218" s="23" t="n"/>
      <c r="G218" s="21">
        <f>IF($A218="","",IF(COUNTIF(Artikelstamm!$B:$B,$A218)=0,"NEU – in Artikelstamm aufnehmen","OK"))</f>
        <v/>
      </c>
      <c r="H218" s="19" t="n"/>
    </row>
    <row r="219">
      <c r="A219" s="19" t="n"/>
      <c r="B219" s="21">
        <f>IF($A219="","",IFERROR(VLOOKUP($A219,Artikelstamm!$B:$I,2,FALSE),""))</f>
        <v/>
      </c>
      <c r="C219" s="21">
        <f>IF($A219="","",IFERROR(VLOOKUP($A219,Artikelstamm!$B:$I,3,FALSE),""))</f>
        <v/>
      </c>
      <c r="D219" s="22">
        <f>IF($A219="","",IFERROR(VLOOKUP($A219,Artikelstamm!$B:$I,4,FALSE),""))</f>
        <v/>
      </c>
      <c r="E219" s="21">
        <f>IF($A219="","",IFERROR(VLOOKUP($A219,Artikelstamm!$B:$I,6,FALSE),""))</f>
        <v/>
      </c>
      <c r="F219" s="23" t="n"/>
      <c r="G219" s="21">
        <f>IF($A219="","",IF(COUNTIF(Artikelstamm!$B:$B,$A219)=0,"NEU – in Artikelstamm aufnehmen","OK"))</f>
        <v/>
      </c>
      <c r="H219" s="19" t="n"/>
    </row>
    <row r="220">
      <c r="A220" s="19" t="n"/>
      <c r="B220" s="21">
        <f>IF($A220="","",IFERROR(VLOOKUP($A220,Artikelstamm!$B:$I,2,FALSE),""))</f>
        <v/>
      </c>
      <c r="C220" s="21">
        <f>IF($A220="","",IFERROR(VLOOKUP($A220,Artikelstamm!$B:$I,3,FALSE),""))</f>
        <v/>
      </c>
      <c r="D220" s="22">
        <f>IF($A220="","",IFERROR(VLOOKUP($A220,Artikelstamm!$B:$I,4,FALSE),""))</f>
        <v/>
      </c>
      <c r="E220" s="21">
        <f>IF($A220="","",IFERROR(VLOOKUP($A220,Artikelstamm!$B:$I,6,FALSE),""))</f>
        <v/>
      </c>
      <c r="F220" s="23" t="n"/>
      <c r="G220" s="21">
        <f>IF($A220="","",IF(COUNTIF(Artikelstamm!$B:$B,$A220)=0,"NEU – in Artikelstamm aufnehmen","OK"))</f>
        <v/>
      </c>
      <c r="H220" s="19" t="n"/>
    </row>
    <row r="221">
      <c r="A221" s="19" t="n"/>
      <c r="B221" s="21">
        <f>IF($A221="","",IFERROR(VLOOKUP($A221,Artikelstamm!$B:$I,2,FALSE),""))</f>
        <v/>
      </c>
      <c r="C221" s="21">
        <f>IF($A221="","",IFERROR(VLOOKUP($A221,Artikelstamm!$B:$I,3,FALSE),""))</f>
        <v/>
      </c>
      <c r="D221" s="22">
        <f>IF($A221="","",IFERROR(VLOOKUP($A221,Artikelstamm!$B:$I,4,FALSE),""))</f>
        <v/>
      </c>
      <c r="E221" s="21">
        <f>IF($A221="","",IFERROR(VLOOKUP($A221,Artikelstamm!$B:$I,6,FALSE),""))</f>
        <v/>
      </c>
      <c r="F221" s="23" t="n"/>
      <c r="G221" s="21">
        <f>IF($A221="","",IF(COUNTIF(Artikelstamm!$B:$B,$A221)=0,"NEU – in Artikelstamm aufnehmen","OK"))</f>
        <v/>
      </c>
      <c r="H221" s="19" t="n"/>
    </row>
    <row r="222">
      <c r="A222" s="19" t="n"/>
      <c r="B222" s="21">
        <f>IF($A222="","",IFERROR(VLOOKUP($A222,Artikelstamm!$B:$I,2,FALSE),""))</f>
        <v/>
      </c>
      <c r="C222" s="21">
        <f>IF($A222="","",IFERROR(VLOOKUP($A222,Artikelstamm!$B:$I,3,FALSE),""))</f>
        <v/>
      </c>
      <c r="D222" s="22">
        <f>IF($A222="","",IFERROR(VLOOKUP($A222,Artikelstamm!$B:$I,4,FALSE),""))</f>
        <v/>
      </c>
      <c r="E222" s="21">
        <f>IF($A222="","",IFERROR(VLOOKUP($A222,Artikelstamm!$B:$I,6,FALSE),""))</f>
        <v/>
      </c>
      <c r="F222" s="23" t="n"/>
      <c r="G222" s="21">
        <f>IF($A222="","",IF(COUNTIF(Artikelstamm!$B:$B,$A222)=0,"NEU – in Artikelstamm aufnehmen","OK"))</f>
        <v/>
      </c>
      <c r="H222" s="19" t="n"/>
    </row>
    <row r="223">
      <c r="A223" s="19" t="n"/>
      <c r="B223" s="21">
        <f>IF($A223="","",IFERROR(VLOOKUP($A223,Artikelstamm!$B:$I,2,FALSE),""))</f>
        <v/>
      </c>
      <c r="C223" s="21">
        <f>IF($A223="","",IFERROR(VLOOKUP($A223,Artikelstamm!$B:$I,3,FALSE),""))</f>
        <v/>
      </c>
      <c r="D223" s="22">
        <f>IF($A223="","",IFERROR(VLOOKUP($A223,Artikelstamm!$B:$I,4,FALSE),""))</f>
        <v/>
      </c>
      <c r="E223" s="21">
        <f>IF($A223="","",IFERROR(VLOOKUP($A223,Artikelstamm!$B:$I,6,FALSE),""))</f>
        <v/>
      </c>
      <c r="F223" s="23" t="n"/>
      <c r="G223" s="21">
        <f>IF($A223="","",IF(COUNTIF(Artikelstamm!$B:$B,$A223)=0,"NEU – in Artikelstamm aufnehmen","OK"))</f>
        <v/>
      </c>
      <c r="H223" s="19" t="n"/>
    </row>
    <row r="224">
      <c r="A224" s="19" t="n"/>
      <c r="B224" s="21">
        <f>IF($A224="","",IFERROR(VLOOKUP($A224,Artikelstamm!$B:$I,2,FALSE),""))</f>
        <v/>
      </c>
      <c r="C224" s="21">
        <f>IF($A224="","",IFERROR(VLOOKUP($A224,Artikelstamm!$B:$I,3,FALSE),""))</f>
        <v/>
      </c>
      <c r="D224" s="22">
        <f>IF($A224="","",IFERROR(VLOOKUP($A224,Artikelstamm!$B:$I,4,FALSE),""))</f>
        <v/>
      </c>
      <c r="E224" s="21">
        <f>IF($A224="","",IFERROR(VLOOKUP($A224,Artikelstamm!$B:$I,6,FALSE),""))</f>
        <v/>
      </c>
      <c r="F224" s="23" t="n"/>
      <c r="G224" s="21">
        <f>IF($A224="","",IF(COUNTIF(Artikelstamm!$B:$B,$A224)=0,"NEU – in Artikelstamm aufnehmen","OK"))</f>
        <v/>
      </c>
      <c r="H224" s="19" t="n"/>
    </row>
    <row r="225">
      <c r="A225" s="19" t="n"/>
      <c r="B225" s="21">
        <f>IF($A225="","",IFERROR(VLOOKUP($A225,Artikelstamm!$B:$I,2,FALSE),""))</f>
        <v/>
      </c>
      <c r="C225" s="21">
        <f>IF($A225="","",IFERROR(VLOOKUP($A225,Artikelstamm!$B:$I,3,FALSE),""))</f>
        <v/>
      </c>
      <c r="D225" s="22">
        <f>IF($A225="","",IFERROR(VLOOKUP($A225,Artikelstamm!$B:$I,4,FALSE),""))</f>
        <v/>
      </c>
      <c r="E225" s="21">
        <f>IF($A225="","",IFERROR(VLOOKUP($A225,Artikelstamm!$B:$I,6,FALSE),""))</f>
        <v/>
      </c>
      <c r="F225" s="23" t="n"/>
      <c r="G225" s="21">
        <f>IF($A225="","",IF(COUNTIF(Artikelstamm!$B:$B,$A225)=0,"NEU – in Artikelstamm aufnehmen","OK"))</f>
        <v/>
      </c>
      <c r="H225" s="19" t="n"/>
    </row>
    <row r="226">
      <c r="A226" s="19" t="n"/>
      <c r="B226" s="21">
        <f>IF($A226="","",IFERROR(VLOOKUP($A226,Artikelstamm!$B:$I,2,FALSE),""))</f>
        <v/>
      </c>
      <c r="C226" s="21">
        <f>IF($A226="","",IFERROR(VLOOKUP($A226,Artikelstamm!$B:$I,3,FALSE),""))</f>
        <v/>
      </c>
      <c r="D226" s="22">
        <f>IF($A226="","",IFERROR(VLOOKUP($A226,Artikelstamm!$B:$I,4,FALSE),""))</f>
        <v/>
      </c>
      <c r="E226" s="21">
        <f>IF($A226="","",IFERROR(VLOOKUP($A226,Artikelstamm!$B:$I,6,FALSE),""))</f>
        <v/>
      </c>
      <c r="F226" s="23" t="n"/>
      <c r="G226" s="21">
        <f>IF($A226="","",IF(COUNTIF(Artikelstamm!$B:$B,$A226)=0,"NEU – in Artikelstamm aufnehmen","OK"))</f>
        <v/>
      </c>
      <c r="H226" s="19" t="n"/>
    </row>
    <row r="227">
      <c r="A227" s="19" t="n"/>
      <c r="B227" s="21">
        <f>IF($A227="","",IFERROR(VLOOKUP($A227,Artikelstamm!$B:$I,2,FALSE),""))</f>
        <v/>
      </c>
      <c r="C227" s="21">
        <f>IF($A227="","",IFERROR(VLOOKUP($A227,Artikelstamm!$B:$I,3,FALSE),""))</f>
        <v/>
      </c>
      <c r="D227" s="22">
        <f>IF($A227="","",IFERROR(VLOOKUP($A227,Artikelstamm!$B:$I,4,FALSE),""))</f>
        <v/>
      </c>
      <c r="E227" s="21">
        <f>IF($A227="","",IFERROR(VLOOKUP($A227,Artikelstamm!$B:$I,6,FALSE),""))</f>
        <v/>
      </c>
      <c r="F227" s="23" t="n"/>
      <c r="G227" s="21">
        <f>IF($A227="","",IF(COUNTIF(Artikelstamm!$B:$B,$A227)=0,"NEU – in Artikelstamm aufnehmen","OK"))</f>
        <v/>
      </c>
      <c r="H227" s="19" t="n"/>
    </row>
    <row r="228">
      <c r="A228" s="19" t="n"/>
      <c r="B228" s="21">
        <f>IF($A228="","",IFERROR(VLOOKUP($A228,Artikelstamm!$B:$I,2,FALSE),""))</f>
        <v/>
      </c>
      <c r="C228" s="21">
        <f>IF($A228="","",IFERROR(VLOOKUP($A228,Artikelstamm!$B:$I,3,FALSE),""))</f>
        <v/>
      </c>
      <c r="D228" s="22">
        <f>IF($A228="","",IFERROR(VLOOKUP($A228,Artikelstamm!$B:$I,4,FALSE),""))</f>
        <v/>
      </c>
      <c r="E228" s="21">
        <f>IF($A228="","",IFERROR(VLOOKUP($A228,Artikelstamm!$B:$I,6,FALSE),""))</f>
        <v/>
      </c>
      <c r="F228" s="23" t="n"/>
      <c r="G228" s="21">
        <f>IF($A228="","",IF(COUNTIF(Artikelstamm!$B:$B,$A228)=0,"NEU – in Artikelstamm aufnehmen","OK"))</f>
        <v/>
      </c>
      <c r="H228" s="19" t="n"/>
    </row>
    <row r="229">
      <c r="A229" s="19" t="n"/>
      <c r="B229" s="21">
        <f>IF($A229="","",IFERROR(VLOOKUP($A229,Artikelstamm!$B:$I,2,FALSE),""))</f>
        <v/>
      </c>
      <c r="C229" s="21">
        <f>IF($A229="","",IFERROR(VLOOKUP($A229,Artikelstamm!$B:$I,3,FALSE),""))</f>
        <v/>
      </c>
      <c r="D229" s="22">
        <f>IF($A229="","",IFERROR(VLOOKUP($A229,Artikelstamm!$B:$I,4,FALSE),""))</f>
        <v/>
      </c>
      <c r="E229" s="21">
        <f>IF($A229="","",IFERROR(VLOOKUP($A229,Artikelstamm!$B:$I,6,FALSE),""))</f>
        <v/>
      </c>
      <c r="F229" s="23" t="n"/>
      <c r="G229" s="21">
        <f>IF($A229="","",IF(COUNTIF(Artikelstamm!$B:$B,$A229)=0,"NEU – in Artikelstamm aufnehmen","OK"))</f>
        <v/>
      </c>
      <c r="H229" s="19" t="n"/>
    </row>
    <row r="230">
      <c r="A230" s="19" t="n"/>
      <c r="B230" s="21">
        <f>IF($A230="","",IFERROR(VLOOKUP($A230,Artikelstamm!$B:$I,2,FALSE),""))</f>
        <v/>
      </c>
      <c r="C230" s="21">
        <f>IF($A230="","",IFERROR(VLOOKUP($A230,Artikelstamm!$B:$I,3,FALSE),""))</f>
        <v/>
      </c>
      <c r="D230" s="22">
        <f>IF($A230="","",IFERROR(VLOOKUP($A230,Artikelstamm!$B:$I,4,FALSE),""))</f>
        <v/>
      </c>
      <c r="E230" s="21">
        <f>IF($A230="","",IFERROR(VLOOKUP($A230,Artikelstamm!$B:$I,6,FALSE),""))</f>
        <v/>
      </c>
      <c r="F230" s="23" t="n"/>
      <c r="G230" s="21">
        <f>IF($A230="","",IF(COUNTIF(Artikelstamm!$B:$B,$A230)=0,"NEU – in Artikelstamm aufnehmen","OK"))</f>
        <v/>
      </c>
      <c r="H230" s="19" t="n"/>
    </row>
    <row r="231">
      <c r="A231" s="19" t="n"/>
      <c r="B231" s="21">
        <f>IF($A231="","",IFERROR(VLOOKUP($A231,Artikelstamm!$B:$I,2,FALSE),""))</f>
        <v/>
      </c>
      <c r="C231" s="21">
        <f>IF($A231="","",IFERROR(VLOOKUP($A231,Artikelstamm!$B:$I,3,FALSE),""))</f>
        <v/>
      </c>
      <c r="D231" s="22">
        <f>IF($A231="","",IFERROR(VLOOKUP($A231,Artikelstamm!$B:$I,4,FALSE),""))</f>
        <v/>
      </c>
      <c r="E231" s="21">
        <f>IF($A231="","",IFERROR(VLOOKUP($A231,Artikelstamm!$B:$I,6,FALSE),""))</f>
        <v/>
      </c>
      <c r="F231" s="23" t="n"/>
      <c r="G231" s="21">
        <f>IF($A231="","",IF(COUNTIF(Artikelstamm!$B:$B,$A231)=0,"NEU – in Artikelstamm aufnehmen","OK"))</f>
        <v/>
      </c>
      <c r="H231" s="19" t="n"/>
    </row>
    <row r="232">
      <c r="A232" s="19" t="n"/>
      <c r="B232" s="21">
        <f>IF($A232="","",IFERROR(VLOOKUP($A232,Artikelstamm!$B:$I,2,FALSE),""))</f>
        <v/>
      </c>
      <c r="C232" s="21">
        <f>IF($A232="","",IFERROR(VLOOKUP($A232,Artikelstamm!$B:$I,3,FALSE),""))</f>
        <v/>
      </c>
      <c r="D232" s="22">
        <f>IF($A232="","",IFERROR(VLOOKUP($A232,Artikelstamm!$B:$I,4,FALSE),""))</f>
        <v/>
      </c>
      <c r="E232" s="21">
        <f>IF($A232="","",IFERROR(VLOOKUP($A232,Artikelstamm!$B:$I,6,FALSE),""))</f>
        <v/>
      </c>
      <c r="F232" s="23" t="n"/>
      <c r="G232" s="21">
        <f>IF($A232="","",IF(COUNTIF(Artikelstamm!$B:$B,$A232)=0,"NEU – in Artikelstamm aufnehmen","OK"))</f>
        <v/>
      </c>
      <c r="H232" s="19" t="n"/>
    </row>
    <row r="233">
      <c r="A233" s="19" t="n"/>
      <c r="B233" s="21">
        <f>IF($A233="","",IFERROR(VLOOKUP($A233,Artikelstamm!$B:$I,2,FALSE),""))</f>
        <v/>
      </c>
      <c r="C233" s="21">
        <f>IF($A233="","",IFERROR(VLOOKUP($A233,Artikelstamm!$B:$I,3,FALSE),""))</f>
        <v/>
      </c>
      <c r="D233" s="22">
        <f>IF($A233="","",IFERROR(VLOOKUP($A233,Artikelstamm!$B:$I,4,FALSE),""))</f>
        <v/>
      </c>
      <c r="E233" s="21">
        <f>IF($A233="","",IFERROR(VLOOKUP($A233,Artikelstamm!$B:$I,6,FALSE),""))</f>
        <v/>
      </c>
      <c r="F233" s="23" t="n"/>
      <c r="G233" s="21">
        <f>IF($A233="","",IF(COUNTIF(Artikelstamm!$B:$B,$A233)=0,"NEU – in Artikelstamm aufnehmen","OK"))</f>
        <v/>
      </c>
      <c r="H233" s="19" t="n"/>
    </row>
    <row r="234">
      <c r="A234" s="19" t="n"/>
      <c r="B234" s="21">
        <f>IF($A234="","",IFERROR(VLOOKUP($A234,Artikelstamm!$B:$I,2,FALSE),""))</f>
        <v/>
      </c>
      <c r="C234" s="21">
        <f>IF($A234="","",IFERROR(VLOOKUP($A234,Artikelstamm!$B:$I,3,FALSE),""))</f>
        <v/>
      </c>
      <c r="D234" s="22">
        <f>IF($A234="","",IFERROR(VLOOKUP($A234,Artikelstamm!$B:$I,4,FALSE),""))</f>
        <v/>
      </c>
      <c r="E234" s="21">
        <f>IF($A234="","",IFERROR(VLOOKUP($A234,Artikelstamm!$B:$I,6,FALSE),""))</f>
        <v/>
      </c>
      <c r="F234" s="23" t="n"/>
      <c r="G234" s="21">
        <f>IF($A234="","",IF(COUNTIF(Artikelstamm!$B:$B,$A234)=0,"NEU – in Artikelstamm aufnehmen","OK"))</f>
        <v/>
      </c>
      <c r="H234" s="19" t="n"/>
    </row>
    <row r="235">
      <c r="A235" s="19" t="n"/>
      <c r="B235" s="21">
        <f>IF($A235="","",IFERROR(VLOOKUP($A235,Artikelstamm!$B:$I,2,FALSE),""))</f>
        <v/>
      </c>
      <c r="C235" s="21">
        <f>IF($A235="","",IFERROR(VLOOKUP($A235,Artikelstamm!$B:$I,3,FALSE),""))</f>
        <v/>
      </c>
      <c r="D235" s="22">
        <f>IF($A235="","",IFERROR(VLOOKUP($A235,Artikelstamm!$B:$I,4,FALSE),""))</f>
        <v/>
      </c>
      <c r="E235" s="21">
        <f>IF($A235="","",IFERROR(VLOOKUP($A235,Artikelstamm!$B:$I,6,FALSE),""))</f>
        <v/>
      </c>
      <c r="F235" s="23" t="n"/>
      <c r="G235" s="21">
        <f>IF($A235="","",IF(COUNTIF(Artikelstamm!$B:$B,$A235)=0,"NEU – in Artikelstamm aufnehmen","OK"))</f>
        <v/>
      </c>
      <c r="H235" s="19" t="n"/>
    </row>
    <row r="236">
      <c r="A236" s="19" t="n"/>
      <c r="B236" s="21">
        <f>IF($A236="","",IFERROR(VLOOKUP($A236,Artikelstamm!$B:$I,2,FALSE),""))</f>
        <v/>
      </c>
      <c r="C236" s="21">
        <f>IF($A236="","",IFERROR(VLOOKUP($A236,Artikelstamm!$B:$I,3,FALSE),""))</f>
        <v/>
      </c>
      <c r="D236" s="22">
        <f>IF($A236="","",IFERROR(VLOOKUP($A236,Artikelstamm!$B:$I,4,FALSE),""))</f>
        <v/>
      </c>
      <c r="E236" s="21">
        <f>IF($A236="","",IFERROR(VLOOKUP($A236,Artikelstamm!$B:$I,6,FALSE),""))</f>
        <v/>
      </c>
      <c r="F236" s="23" t="n"/>
      <c r="G236" s="21">
        <f>IF($A236="","",IF(COUNTIF(Artikelstamm!$B:$B,$A236)=0,"NEU – in Artikelstamm aufnehmen","OK"))</f>
        <v/>
      </c>
      <c r="H236" s="19" t="n"/>
    </row>
    <row r="237">
      <c r="A237" s="19" t="n"/>
      <c r="B237" s="21">
        <f>IF($A237="","",IFERROR(VLOOKUP($A237,Artikelstamm!$B:$I,2,FALSE),""))</f>
        <v/>
      </c>
      <c r="C237" s="21">
        <f>IF($A237="","",IFERROR(VLOOKUP($A237,Artikelstamm!$B:$I,3,FALSE),""))</f>
        <v/>
      </c>
      <c r="D237" s="22">
        <f>IF($A237="","",IFERROR(VLOOKUP($A237,Artikelstamm!$B:$I,4,FALSE),""))</f>
        <v/>
      </c>
      <c r="E237" s="21">
        <f>IF($A237="","",IFERROR(VLOOKUP($A237,Artikelstamm!$B:$I,6,FALSE),""))</f>
        <v/>
      </c>
      <c r="F237" s="23" t="n"/>
      <c r="G237" s="21">
        <f>IF($A237="","",IF(COUNTIF(Artikelstamm!$B:$B,$A237)=0,"NEU – in Artikelstamm aufnehmen","OK"))</f>
        <v/>
      </c>
      <c r="H237" s="19" t="n"/>
    </row>
    <row r="238">
      <c r="A238" s="19" t="n"/>
      <c r="B238" s="21">
        <f>IF($A238="","",IFERROR(VLOOKUP($A238,Artikelstamm!$B:$I,2,FALSE),""))</f>
        <v/>
      </c>
      <c r="C238" s="21">
        <f>IF($A238="","",IFERROR(VLOOKUP($A238,Artikelstamm!$B:$I,3,FALSE),""))</f>
        <v/>
      </c>
      <c r="D238" s="22">
        <f>IF($A238="","",IFERROR(VLOOKUP($A238,Artikelstamm!$B:$I,4,FALSE),""))</f>
        <v/>
      </c>
      <c r="E238" s="21">
        <f>IF($A238="","",IFERROR(VLOOKUP($A238,Artikelstamm!$B:$I,6,FALSE),""))</f>
        <v/>
      </c>
      <c r="F238" s="23" t="n"/>
      <c r="G238" s="21">
        <f>IF($A238="","",IF(COUNTIF(Artikelstamm!$B:$B,$A238)=0,"NEU – in Artikelstamm aufnehmen","OK"))</f>
        <v/>
      </c>
      <c r="H238" s="19" t="n"/>
    </row>
    <row r="239">
      <c r="A239" s="19" t="n"/>
      <c r="B239" s="21">
        <f>IF($A239="","",IFERROR(VLOOKUP($A239,Artikelstamm!$B:$I,2,FALSE),""))</f>
        <v/>
      </c>
      <c r="C239" s="21">
        <f>IF($A239="","",IFERROR(VLOOKUP($A239,Artikelstamm!$B:$I,3,FALSE),""))</f>
        <v/>
      </c>
      <c r="D239" s="22">
        <f>IF($A239="","",IFERROR(VLOOKUP($A239,Artikelstamm!$B:$I,4,FALSE),""))</f>
        <v/>
      </c>
      <c r="E239" s="21">
        <f>IF($A239="","",IFERROR(VLOOKUP($A239,Artikelstamm!$B:$I,6,FALSE),""))</f>
        <v/>
      </c>
      <c r="F239" s="23" t="n"/>
      <c r="G239" s="21">
        <f>IF($A239="","",IF(COUNTIF(Artikelstamm!$B:$B,$A239)=0,"NEU – in Artikelstamm aufnehmen","OK"))</f>
        <v/>
      </c>
      <c r="H239" s="19" t="n"/>
    </row>
    <row r="240">
      <c r="A240" s="19" t="n"/>
      <c r="B240" s="21">
        <f>IF($A240="","",IFERROR(VLOOKUP($A240,Artikelstamm!$B:$I,2,FALSE),""))</f>
        <v/>
      </c>
      <c r="C240" s="21">
        <f>IF($A240="","",IFERROR(VLOOKUP($A240,Artikelstamm!$B:$I,3,FALSE),""))</f>
        <v/>
      </c>
      <c r="D240" s="22">
        <f>IF($A240="","",IFERROR(VLOOKUP($A240,Artikelstamm!$B:$I,4,FALSE),""))</f>
        <v/>
      </c>
      <c r="E240" s="21">
        <f>IF($A240="","",IFERROR(VLOOKUP($A240,Artikelstamm!$B:$I,6,FALSE),""))</f>
        <v/>
      </c>
      <c r="F240" s="23" t="n"/>
      <c r="G240" s="21">
        <f>IF($A240="","",IF(COUNTIF(Artikelstamm!$B:$B,$A240)=0,"NEU – in Artikelstamm aufnehmen","OK"))</f>
        <v/>
      </c>
      <c r="H240" s="19" t="n"/>
    </row>
    <row r="241">
      <c r="A241" s="19" t="n"/>
      <c r="B241" s="21">
        <f>IF($A241="","",IFERROR(VLOOKUP($A241,Artikelstamm!$B:$I,2,FALSE),""))</f>
        <v/>
      </c>
      <c r="C241" s="21">
        <f>IF($A241="","",IFERROR(VLOOKUP($A241,Artikelstamm!$B:$I,3,FALSE),""))</f>
        <v/>
      </c>
      <c r="D241" s="22">
        <f>IF($A241="","",IFERROR(VLOOKUP($A241,Artikelstamm!$B:$I,4,FALSE),""))</f>
        <v/>
      </c>
      <c r="E241" s="21">
        <f>IF($A241="","",IFERROR(VLOOKUP($A241,Artikelstamm!$B:$I,6,FALSE),""))</f>
        <v/>
      </c>
      <c r="F241" s="23" t="n"/>
      <c r="G241" s="21">
        <f>IF($A241="","",IF(COUNTIF(Artikelstamm!$B:$B,$A241)=0,"NEU – in Artikelstamm aufnehmen","OK"))</f>
        <v/>
      </c>
      <c r="H241" s="19" t="n"/>
    </row>
    <row r="242">
      <c r="A242" s="19" t="n"/>
      <c r="B242" s="21">
        <f>IF($A242="","",IFERROR(VLOOKUP($A242,Artikelstamm!$B:$I,2,FALSE),""))</f>
        <v/>
      </c>
      <c r="C242" s="21">
        <f>IF($A242="","",IFERROR(VLOOKUP($A242,Artikelstamm!$B:$I,3,FALSE),""))</f>
        <v/>
      </c>
      <c r="D242" s="22">
        <f>IF($A242="","",IFERROR(VLOOKUP($A242,Artikelstamm!$B:$I,4,FALSE),""))</f>
        <v/>
      </c>
      <c r="E242" s="21">
        <f>IF($A242="","",IFERROR(VLOOKUP($A242,Artikelstamm!$B:$I,6,FALSE),""))</f>
        <v/>
      </c>
      <c r="F242" s="23" t="n"/>
      <c r="G242" s="21">
        <f>IF($A242="","",IF(COUNTIF(Artikelstamm!$B:$B,$A242)=0,"NEU – in Artikelstamm aufnehmen","OK"))</f>
        <v/>
      </c>
      <c r="H242" s="19" t="n"/>
    </row>
    <row r="243">
      <c r="A243" s="19" t="n"/>
      <c r="B243" s="21">
        <f>IF($A243="","",IFERROR(VLOOKUP($A243,Artikelstamm!$B:$I,2,FALSE),""))</f>
        <v/>
      </c>
      <c r="C243" s="21">
        <f>IF($A243="","",IFERROR(VLOOKUP($A243,Artikelstamm!$B:$I,3,FALSE),""))</f>
        <v/>
      </c>
      <c r="D243" s="22">
        <f>IF($A243="","",IFERROR(VLOOKUP($A243,Artikelstamm!$B:$I,4,FALSE),""))</f>
        <v/>
      </c>
      <c r="E243" s="21">
        <f>IF($A243="","",IFERROR(VLOOKUP($A243,Artikelstamm!$B:$I,6,FALSE),""))</f>
        <v/>
      </c>
      <c r="F243" s="23" t="n"/>
      <c r="G243" s="21">
        <f>IF($A243="","",IF(COUNTIF(Artikelstamm!$B:$B,$A243)=0,"NEU – in Artikelstamm aufnehmen","OK"))</f>
        <v/>
      </c>
      <c r="H243" s="19" t="n"/>
    </row>
    <row r="244">
      <c r="A244" s="19" t="n"/>
      <c r="B244" s="21">
        <f>IF($A244="","",IFERROR(VLOOKUP($A244,Artikelstamm!$B:$I,2,FALSE),""))</f>
        <v/>
      </c>
      <c r="C244" s="21">
        <f>IF($A244="","",IFERROR(VLOOKUP($A244,Artikelstamm!$B:$I,3,FALSE),""))</f>
        <v/>
      </c>
      <c r="D244" s="22">
        <f>IF($A244="","",IFERROR(VLOOKUP($A244,Artikelstamm!$B:$I,4,FALSE),""))</f>
        <v/>
      </c>
      <c r="E244" s="21">
        <f>IF($A244="","",IFERROR(VLOOKUP($A244,Artikelstamm!$B:$I,6,FALSE),""))</f>
        <v/>
      </c>
      <c r="F244" s="23" t="n"/>
      <c r="G244" s="21">
        <f>IF($A244="","",IF(COUNTIF(Artikelstamm!$B:$B,$A244)=0,"NEU – in Artikelstamm aufnehmen","OK"))</f>
        <v/>
      </c>
      <c r="H244" s="19" t="n"/>
    </row>
    <row r="245">
      <c r="A245" s="19" t="n"/>
      <c r="B245" s="21">
        <f>IF($A245="","",IFERROR(VLOOKUP($A245,Artikelstamm!$B:$I,2,FALSE),""))</f>
        <v/>
      </c>
      <c r="C245" s="21">
        <f>IF($A245="","",IFERROR(VLOOKUP($A245,Artikelstamm!$B:$I,3,FALSE),""))</f>
        <v/>
      </c>
      <c r="D245" s="22">
        <f>IF($A245="","",IFERROR(VLOOKUP($A245,Artikelstamm!$B:$I,4,FALSE),""))</f>
        <v/>
      </c>
      <c r="E245" s="21">
        <f>IF($A245="","",IFERROR(VLOOKUP($A245,Artikelstamm!$B:$I,6,FALSE),""))</f>
        <v/>
      </c>
      <c r="F245" s="23" t="n"/>
      <c r="G245" s="21">
        <f>IF($A245="","",IF(COUNTIF(Artikelstamm!$B:$B,$A245)=0,"NEU – in Artikelstamm aufnehmen","OK"))</f>
        <v/>
      </c>
      <c r="H245" s="19" t="n"/>
    </row>
    <row r="246">
      <c r="A246" s="19" t="n"/>
      <c r="B246" s="21">
        <f>IF($A246="","",IFERROR(VLOOKUP($A246,Artikelstamm!$B:$I,2,FALSE),""))</f>
        <v/>
      </c>
      <c r="C246" s="21">
        <f>IF($A246="","",IFERROR(VLOOKUP($A246,Artikelstamm!$B:$I,3,FALSE),""))</f>
        <v/>
      </c>
      <c r="D246" s="22">
        <f>IF($A246="","",IFERROR(VLOOKUP($A246,Artikelstamm!$B:$I,4,FALSE),""))</f>
        <v/>
      </c>
      <c r="E246" s="21">
        <f>IF($A246="","",IFERROR(VLOOKUP($A246,Artikelstamm!$B:$I,6,FALSE),""))</f>
        <v/>
      </c>
      <c r="F246" s="23" t="n"/>
      <c r="G246" s="21">
        <f>IF($A246="","",IF(COUNTIF(Artikelstamm!$B:$B,$A246)=0,"NEU – in Artikelstamm aufnehmen","OK"))</f>
        <v/>
      </c>
      <c r="H246" s="19" t="n"/>
    </row>
    <row r="247">
      <c r="A247" s="19" t="n"/>
      <c r="B247" s="21">
        <f>IF($A247="","",IFERROR(VLOOKUP($A247,Artikelstamm!$B:$I,2,FALSE),""))</f>
        <v/>
      </c>
      <c r="C247" s="21">
        <f>IF($A247="","",IFERROR(VLOOKUP($A247,Artikelstamm!$B:$I,3,FALSE),""))</f>
        <v/>
      </c>
      <c r="D247" s="22">
        <f>IF($A247="","",IFERROR(VLOOKUP($A247,Artikelstamm!$B:$I,4,FALSE),""))</f>
        <v/>
      </c>
      <c r="E247" s="21">
        <f>IF($A247="","",IFERROR(VLOOKUP($A247,Artikelstamm!$B:$I,6,FALSE),""))</f>
        <v/>
      </c>
      <c r="F247" s="23" t="n"/>
      <c r="G247" s="21">
        <f>IF($A247="","",IF(COUNTIF(Artikelstamm!$B:$B,$A247)=0,"NEU – in Artikelstamm aufnehmen","OK"))</f>
        <v/>
      </c>
      <c r="H247" s="19" t="n"/>
    </row>
    <row r="248">
      <c r="A248" s="19" t="n"/>
      <c r="B248" s="21">
        <f>IF($A248="","",IFERROR(VLOOKUP($A248,Artikelstamm!$B:$I,2,FALSE),""))</f>
        <v/>
      </c>
      <c r="C248" s="21">
        <f>IF($A248="","",IFERROR(VLOOKUP($A248,Artikelstamm!$B:$I,3,FALSE),""))</f>
        <v/>
      </c>
      <c r="D248" s="22">
        <f>IF($A248="","",IFERROR(VLOOKUP($A248,Artikelstamm!$B:$I,4,FALSE),""))</f>
        <v/>
      </c>
      <c r="E248" s="21">
        <f>IF($A248="","",IFERROR(VLOOKUP($A248,Artikelstamm!$B:$I,6,FALSE),""))</f>
        <v/>
      </c>
      <c r="F248" s="23" t="n"/>
      <c r="G248" s="21">
        <f>IF($A248="","",IF(COUNTIF(Artikelstamm!$B:$B,$A248)=0,"NEU – in Artikelstamm aufnehmen","OK"))</f>
        <v/>
      </c>
      <c r="H248" s="19" t="n"/>
    </row>
    <row r="249">
      <c r="A249" s="19" t="n"/>
      <c r="B249" s="21">
        <f>IF($A249="","",IFERROR(VLOOKUP($A249,Artikelstamm!$B:$I,2,FALSE),""))</f>
        <v/>
      </c>
      <c r="C249" s="21">
        <f>IF($A249="","",IFERROR(VLOOKUP($A249,Artikelstamm!$B:$I,3,FALSE),""))</f>
        <v/>
      </c>
      <c r="D249" s="22">
        <f>IF($A249="","",IFERROR(VLOOKUP($A249,Artikelstamm!$B:$I,4,FALSE),""))</f>
        <v/>
      </c>
      <c r="E249" s="21">
        <f>IF($A249="","",IFERROR(VLOOKUP($A249,Artikelstamm!$B:$I,6,FALSE),""))</f>
        <v/>
      </c>
      <c r="F249" s="23" t="n"/>
      <c r="G249" s="21">
        <f>IF($A249="","",IF(COUNTIF(Artikelstamm!$B:$B,$A249)=0,"NEU – in Artikelstamm aufnehmen","OK"))</f>
        <v/>
      </c>
      <c r="H249" s="19" t="n"/>
    </row>
    <row r="250">
      <c r="A250" s="19" t="n"/>
      <c r="B250" s="21">
        <f>IF($A250="","",IFERROR(VLOOKUP($A250,Artikelstamm!$B:$I,2,FALSE),""))</f>
        <v/>
      </c>
      <c r="C250" s="21">
        <f>IF($A250="","",IFERROR(VLOOKUP($A250,Artikelstamm!$B:$I,3,FALSE),""))</f>
        <v/>
      </c>
      <c r="D250" s="22">
        <f>IF($A250="","",IFERROR(VLOOKUP($A250,Artikelstamm!$B:$I,4,FALSE),""))</f>
        <v/>
      </c>
      <c r="E250" s="21">
        <f>IF($A250="","",IFERROR(VLOOKUP($A250,Artikelstamm!$B:$I,6,FALSE),""))</f>
        <v/>
      </c>
      <c r="F250" s="23" t="n"/>
      <c r="G250" s="21">
        <f>IF($A250="","",IF(COUNTIF(Artikelstamm!$B:$B,$A250)=0,"NEU – in Artikelstamm aufnehmen","OK"))</f>
        <v/>
      </c>
      <c r="H250" s="19" t="n"/>
    </row>
    <row r="251">
      <c r="A251" s="19" t="n"/>
      <c r="B251" s="21">
        <f>IF($A251="","",IFERROR(VLOOKUP($A251,Artikelstamm!$B:$I,2,FALSE),""))</f>
        <v/>
      </c>
      <c r="C251" s="21">
        <f>IF($A251="","",IFERROR(VLOOKUP($A251,Artikelstamm!$B:$I,3,FALSE),""))</f>
        <v/>
      </c>
      <c r="D251" s="22">
        <f>IF($A251="","",IFERROR(VLOOKUP($A251,Artikelstamm!$B:$I,4,FALSE),""))</f>
        <v/>
      </c>
      <c r="E251" s="21">
        <f>IF($A251="","",IFERROR(VLOOKUP($A251,Artikelstamm!$B:$I,6,FALSE),""))</f>
        <v/>
      </c>
      <c r="F251" s="23" t="n"/>
      <c r="G251" s="21">
        <f>IF($A251="","",IF(COUNTIF(Artikelstamm!$B:$B,$A251)=0,"NEU – in Artikelstamm aufnehmen","OK"))</f>
        <v/>
      </c>
      <c r="H251" s="19" t="n"/>
    </row>
    <row r="252">
      <c r="A252" s="19" t="n"/>
      <c r="B252" s="21">
        <f>IF($A252="","",IFERROR(VLOOKUP($A252,Artikelstamm!$B:$I,2,FALSE),""))</f>
        <v/>
      </c>
      <c r="C252" s="21">
        <f>IF($A252="","",IFERROR(VLOOKUP($A252,Artikelstamm!$B:$I,3,FALSE),""))</f>
        <v/>
      </c>
      <c r="D252" s="22">
        <f>IF($A252="","",IFERROR(VLOOKUP($A252,Artikelstamm!$B:$I,4,FALSE),""))</f>
        <v/>
      </c>
      <c r="E252" s="21">
        <f>IF($A252="","",IFERROR(VLOOKUP($A252,Artikelstamm!$B:$I,6,FALSE),""))</f>
        <v/>
      </c>
      <c r="F252" s="23" t="n"/>
      <c r="G252" s="21">
        <f>IF($A252="","",IF(COUNTIF(Artikelstamm!$B:$B,$A252)=0,"NEU – in Artikelstamm aufnehmen","OK"))</f>
        <v/>
      </c>
      <c r="H252" s="19" t="n"/>
    </row>
    <row r="253">
      <c r="A253" s="19" t="n"/>
      <c r="B253" s="21">
        <f>IF($A253="","",IFERROR(VLOOKUP($A253,Artikelstamm!$B:$I,2,FALSE),""))</f>
        <v/>
      </c>
      <c r="C253" s="21">
        <f>IF($A253="","",IFERROR(VLOOKUP($A253,Artikelstamm!$B:$I,3,FALSE),""))</f>
        <v/>
      </c>
      <c r="D253" s="22">
        <f>IF($A253="","",IFERROR(VLOOKUP($A253,Artikelstamm!$B:$I,4,FALSE),""))</f>
        <v/>
      </c>
      <c r="E253" s="21">
        <f>IF($A253="","",IFERROR(VLOOKUP($A253,Artikelstamm!$B:$I,6,FALSE),""))</f>
        <v/>
      </c>
      <c r="F253" s="23" t="n"/>
      <c r="G253" s="21">
        <f>IF($A253="","",IF(COUNTIF(Artikelstamm!$B:$B,$A253)=0,"NEU – in Artikelstamm aufnehmen","OK"))</f>
        <v/>
      </c>
      <c r="H253" s="19" t="n"/>
    </row>
    <row r="254">
      <c r="A254" s="19" t="n"/>
      <c r="B254" s="21">
        <f>IF($A254="","",IFERROR(VLOOKUP($A254,Artikelstamm!$B:$I,2,FALSE),""))</f>
        <v/>
      </c>
      <c r="C254" s="21">
        <f>IF($A254="","",IFERROR(VLOOKUP($A254,Artikelstamm!$B:$I,3,FALSE),""))</f>
        <v/>
      </c>
      <c r="D254" s="22">
        <f>IF($A254="","",IFERROR(VLOOKUP($A254,Artikelstamm!$B:$I,4,FALSE),""))</f>
        <v/>
      </c>
      <c r="E254" s="21">
        <f>IF($A254="","",IFERROR(VLOOKUP($A254,Artikelstamm!$B:$I,6,FALSE),""))</f>
        <v/>
      </c>
      <c r="F254" s="23" t="n"/>
      <c r="G254" s="21">
        <f>IF($A254="","",IF(COUNTIF(Artikelstamm!$B:$B,$A254)=0,"NEU – in Artikelstamm aufnehmen","OK"))</f>
        <v/>
      </c>
      <c r="H254" s="19" t="n"/>
    </row>
    <row r="255">
      <c r="A255" s="19" t="n"/>
      <c r="B255" s="21">
        <f>IF($A255="","",IFERROR(VLOOKUP($A255,Artikelstamm!$B:$I,2,FALSE),""))</f>
        <v/>
      </c>
      <c r="C255" s="21">
        <f>IF($A255="","",IFERROR(VLOOKUP($A255,Artikelstamm!$B:$I,3,FALSE),""))</f>
        <v/>
      </c>
      <c r="D255" s="22">
        <f>IF($A255="","",IFERROR(VLOOKUP($A255,Artikelstamm!$B:$I,4,FALSE),""))</f>
        <v/>
      </c>
      <c r="E255" s="21">
        <f>IF($A255="","",IFERROR(VLOOKUP($A255,Artikelstamm!$B:$I,6,FALSE),""))</f>
        <v/>
      </c>
      <c r="F255" s="23" t="n"/>
      <c r="G255" s="21">
        <f>IF($A255="","",IF(COUNTIF(Artikelstamm!$B:$B,$A255)=0,"NEU – in Artikelstamm aufnehmen","OK"))</f>
        <v/>
      </c>
      <c r="H255" s="19" t="n"/>
    </row>
    <row r="256">
      <c r="A256" s="19" t="n"/>
      <c r="B256" s="21">
        <f>IF($A256="","",IFERROR(VLOOKUP($A256,Artikelstamm!$B:$I,2,FALSE),""))</f>
        <v/>
      </c>
      <c r="C256" s="21">
        <f>IF($A256="","",IFERROR(VLOOKUP($A256,Artikelstamm!$B:$I,3,FALSE),""))</f>
        <v/>
      </c>
      <c r="D256" s="22">
        <f>IF($A256="","",IFERROR(VLOOKUP($A256,Artikelstamm!$B:$I,4,FALSE),""))</f>
        <v/>
      </c>
      <c r="E256" s="21">
        <f>IF($A256="","",IFERROR(VLOOKUP($A256,Artikelstamm!$B:$I,6,FALSE),""))</f>
        <v/>
      </c>
      <c r="F256" s="23" t="n"/>
      <c r="G256" s="21">
        <f>IF($A256="","",IF(COUNTIF(Artikelstamm!$B:$B,$A256)=0,"NEU – in Artikelstamm aufnehmen","OK"))</f>
        <v/>
      </c>
      <c r="H256" s="19" t="n"/>
    </row>
    <row r="257">
      <c r="A257" s="19" t="n"/>
      <c r="B257" s="21">
        <f>IF($A257="","",IFERROR(VLOOKUP($A257,Artikelstamm!$B:$I,2,FALSE),""))</f>
        <v/>
      </c>
      <c r="C257" s="21">
        <f>IF($A257="","",IFERROR(VLOOKUP($A257,Artikelstamm!$B:$I,3,FALSE),""))</f>
        <v/>
      </c>
      <c r="D257" s="22">
        <f>IF($A257="","",IFERROR(VLOOKUP($A257,Artikelstamm!$B:$I,4,FALSE),""))</f>
        <v/>
      </c>
      <c r="E257" s="21">
        <f>IF($A257="","",IFERROR(VLOOKUP($A257,Artikelstamm!$B:$I,6,FALSE),""))</f>
        <v/>
      </c>
      <c r="F257" s="23" t="n"/>
      <c r="G257" s="21">
        <f>IF($A257="","",IF(COUNTIF(Artikelstamm!$B:$B,$A257)=0,"NEU – in Artikelstamm aufnehmen","OK"))</f>
        <v/>
      </c>
      <c r="H257" s="19" t="n"/>
    </row>
    <row r="258">
      <c r="A258" s="19" t="n"/>
      <c r="B258" s="21">
        <f>IF($A258="","",IFERROR(VLOOKUP($A258,Artikelstamm!$B:$I,2,FALSE),""))</f>
        <v/>
      </c>
      <c r="C258" s="21">
        <f>IF($A258="","",IFERROR(VLOOKUP($A258,Artikelstamm!$B:$I,3,FALSE),""))</f>
        <v/>
      </c>
      <c r="D258" s="22">
        <f>IF($A258="","",IFERROR(VLOOKUP($A258,Artikelstamm!$B:$I,4,FALSE),""))</f>
        <v/>
      </c>
      <c r="E258" s="21">
        <f>IF($A258="","",IFERROR(VLOOKUP($A258,Artikelstamm!$B:$I,6,FALSE),""))</f>
        <v/>
      </c>
      <c r="F258" s="23" t="n"/>
      <c r="G258" s="21">
        <f>IF($A258="","",IF(COUNTIF(Artikelstamm!$B:$B,$A258)=0,"NEU – in Artikelstamm aufnehmen","OK"))</f>
        <v/>
      </c>
      <c r="H258" s="19" t="n"/>
    </row>
  </sheetData>
  <autoFilter ref="A8:H258"/>
  <mergeCells count="6">
    <mergeCell ref="B5:D5"/>
    <mergeCell ref="A7:H7"/>
    <mergeCell ref="A2:H2"/>
    <mergeCell ref="B4:D4"/>
    <mergeCell ref="A1:H1"/>
    <mergeCell ref="B6:D6"/>
  </mergeCells>
  <dataValidations count="2">
    <dataValidation sqref="A9:A258" showDropDown="0" showInputMessage="0" showErrorMessage="0" allowBlank="1" type="list">
      <formula1>ArtikelListe</formula1>
    </dataValidation>
    <dataValidation sqref="B4" showDropDown="0" showInputMessage="0" showErrorMessage="0" allowBlank="1" type="list">
      <formula1>Zaehlstellen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7"/>
  <sheetViews>
    <sheetView showGridLines="0" workbookViewId="0">
      <pane ySplit="7" topLeftCell="A8" activePane="bottomLeft" state="frozen"/>
      <selection pane="bottomLeft" activeCell="A1" sqref="A1"/>
    </sheetView>
  </sheetViews>
  <sheetFormatPr baseColWidth="8" defaultRowHeight="15"/>
  <cols>
    <col width="46" customWidth="1" min="1" max="1"/>
    <col width="22" customWidth="1" min="2" max="2"/>
    <col width="12" customWidth="1" min="3" max="3"/>
    <col width="22" customWidth="1" min="4" max="4"/>
    <col width="28" customWidth="1" min="5" max="5"/>
    <col width="30" customWidth="1" min="6" max="6"/>
    <col width="17" customWidth="1" min="7" max="7"/>
    <col width="11" customWidth="1" min="8" max="8"/>
    <col hidden="1" width="3" customWidth="1" min="10" max="10"/>
  </cols>
  <sheetData>
    <row r="1" ht="30" customHeight="1">
      <c r="A1" s="1" t="inlineStr">
        <is>
          <t>Artikel suchen</t>
        </is>
      </c>
      <c r="B1" s="2" t="n"/>
      <c r="C1" s="2" t="n"/>
      <c r="D1" s="2" t="n"/>
      <c r="E1" s="2" t="n"/>
      <c r="F1" s="2" t="n"/>
      <c r="G1" s="2" t="n"/>
      <c r="H1" s="2" t="n"/>
    </row>
    <row r="2" ht="20" customHeight="1">
      <c r="A2" s="3" t="inlineStr">
        <is>
          <t>Vier Jahreszeiten Schluchsee</t>
        </is>
      </c>
      <c r="B2" s="4" t="n"/>
      <c r="C2" s="4" t="n"/>
      <c r="D2" s="4" t="n"/>
      <c r="E2" s="4" t="n"/>
      <c r="F2" s="4" t="n"/>
      <c r="G2" s="4" t="n"/>
      <c r="H2" s="4" t="n"/>
    </row>
    <row r="4" ht="22" customHeight="1">
      <c r="A4" s="18" t="inlineStr">
        <is>
          <t>Suchbegriff:</t>
        </is>
      </c>
      <c r="B4" s="24" t="n"/>
      <c r="C4" s="20" t="n"/>
      <c r="D4" s="20" t="n"/>
    </row>
    <row r="5">
      <c r="A5" s="18" t="inlineStr">
        <is>
          <t>Treffer:</t>
        </is>
      </c>
      <c r="B5" s="25">
        <f>SUM(Artikelstamm!$K$5:$K$500)</f>
        <v/>
      </c>
    </row>
    <row r="6" ht="18" customHeight="1">
      <c r="A6" s="10" t="inlineStr">
        <is>
          <t>Stichwort oben eintippen – z. B. „cola“, „burgunder“, „wasser“, „rothaus“, „reiniger“. Gesucht wird an beliebiger Stelle in Artikelname, Warengruppe und Lieferant; Groß- und Kleinschreibung spielt keine Rolle. Leeres Feld = alle Artikel. Es werden die ersten 40 Treffer angezeigt.</t>
        </is>
      </c>
    </row>
    <row r="7" ht="26" customHeight="1">
      <c r="A7" s="11" t="inlineStr">
        <is>
          <t>Artikel</t>
        </is>
      </c>
      <c r="B7" s="11" t="inlineStr">
        <is>
          <t>Gebinde / Größe</t>
        </is>
      </c>
      <c r="C7" s="11" t="inlineStr">
        <is>
          <t>Einheit</t>
        </is>
      </c>
      <c r="D7" s="11" t="inlineStr">
        <is>
          <t>Inhalt je Gebinde</t>
        </is>
      </c>
      <c r="E7" s="11" t="inlineStr">
        <is>
          <t>Lieferant</t>
        </is>
      </c>
      <c r="F7" s="11" t="inlineStr">
        <is>
          <t>Warengruppe</t>
        </is>
      </c>
      <c r="G7" s="11" t="inlineStr">
        <is>
          <t>Lagerort</t>
        </is>
      </c>
      <c r="H7" s="11" t="inlineStr">
        <is>
          <t>Art.-Nr.</t>
        </is>
      </c>
    </row>
    <row r="8">
      <c r="A8" s="13">
        <f>IFERROR(INDEX(Artikelstamm!$B:$B,$J8),"")</f>
        <v/>
      </c>
      <c r="B8" s="14">
        <f>IFERROR(INDEX(Artikelstamm!$D:$D,$J8),"")</f>
        <v/>
      </c>
      <c r="C8" s="12">
        <f>IFERROR(INDEX(Artikelstamm!$E:$E,$J8),"")</f>
        <v/>
      </c>
      <c r="D8" s="14">
        <f>IFERROR(INDEX(Artikelstamm!$F:$F,$J8),"")</f>
        <v/>
      </c>
      <c r="E8" s="14">
        <f>IFERROR(INDEX(Artikelstamm!$G:$G,$J8),"")</f>
        <v/>
      </c>
      <c r="F8" s="14">
        <f>IFERROR(INDEX(Artikelstamm!$C:$C,$J8),"")</f>
        <v/>
      </c>
      <c r="G8" s="14">
        <f>IFERROR(INDEX(Artikelstamm!$H:$H,$J8),"")</f>
        <v/>
      </c>
      <c r="H8" s="12">
        <f>IFERROR(INDEX(Artikelstamm!$A:$A,$J8),"")</f>
        <v/>
      </c>
      <c r="J8">
        <f>IFERROR(MATCH(ROW()-7,Artikelstamm!$L$5:$L$500,0)+4,"")</f>
        <v/>
      </c>
    </row>
    <row r="9">
      <c r="A9" s="16">
        <f>IFERROR(INDEX(Artikelstamm!$B:$B,$J9),"")</f>
        <v/>
      </c>
      <c r="B9" s="17">
        <f>IFERROR(INDEX(Artikelstamm!$D:$D,$J9),"")</f>
        <v/>
      </c>
      <c r="C9" s="15">
        <f>IFERROR(INDEX(Artikelstamm!$E:$E,$J9),"")</f>
        <v/>
      </c>
      <c r="D9" s="17">
        <f>IFERROR(INDEX(Artikelstamm!$F:$F,$J9),"")</f>
        <v/>
      </c>
      <c r="E9" s="17">
        <f>IFERROR(INDEX(Artikelstamm!$G:$G,$J9),"")</f>
        <v/>
      </c>
      <c r="F9" s="17">
        <f>IFERROR(INDEX(Artikelstamm!$C:$C,$J9),"")</f>
        <v/>
      </c>
      <c r="G9" s="17">
        <f>IFERROR(INDEX(Artikelstamm!$H:$H,$J9),"")</f>
        <v/>
      </c>
      <c r="H9" s="15">
        <f>IFERROR(INDEX(Artikelstamm!$A:$A,$J9),"")</f>
        <v/>
      </c>
      <c r="J9">
        <f>IFERROR(MATCH(ROW()-7,Artikelstamm!$L$5:$L$500,0)+4,"")</f>
        <v/>
      </c>
    </row>
    <row r="10">
      <c r="A10" s="13">
        <f>IFERROR(INDEX(Artikelstamm!$B:$B,$J10),"")</f>
        <v/>
      </c>
      <c r="B10" s="14">
        <f>IFERROR(INDEX(Artikelstamm!$D:$D,$J10),"")</f>
        <v/>
      </c>
      <c r="C10" s="12">
        <f>IFERROR(INDEX(Artikelstamm!$E:$E,$J10),"")</f>
        <v/>
      </c>
      <c r="D10" s="14">
        <f>IFERROR(INDEX(Artikelstamm!$F:$F,$J10),"")</f>
        <v/>
      </c>
      <c r="E10" s="14">
        <f>IFERROR(INDEX(Artikelstamm!$G:$G,$J10),"")</f>
        <v/>
      </c>
      <c r="F10" s="14">
        <f>IFERROR(INDEX(Artikelstamm!$C:$C,$J10),"")</f>
        <v/>
      </c>
      <c r="G10" s="14">
        <f>IFERROR(INDEX(Artikelstamm!$H:$H,$J10),"")</f>
        <v/>
      </c>
      <c r="H10" s="12">
        <f>IFERROR(INDEX(Artikelstamm!$A:$A,$J10),"")</f>
        <v/>
      </c>
      <c r="J10">
        <f>IFERROR(MATCH(ROW()-7,Artikelstamm!$L$5:$L$500,0)+4,"")</f>
        <v/>
      </c>
    </row>
    <row r="11">
      <c r="A11" s="16">
        <f>IFERROR(INDEX(Artikelstamm!$B:$B,$J11),"")</f>
        <v/>
      </c>
      <c r="B11" s="17">
        <f>IFERROR(INDEX(Artikelstamm!$D:$D,$J11),"")</f>
        <v/>
      </c>
      <c r="C11" s="15">
        <f>IFERROR(INDEX(Artikelstamm!$E:$E,$J11),"")</f>
        <v/>
      </c>
      <c r="D11" s="17">
        <f>IFERROR(INDEX(Artikelstamm!$F:$F,$J11),"")</f>
        <v/>
      </c>
      <c r="E11" s="17">
        <f>IFERROR(INDEX(Artikelstamm!$G:$G,$J11),"")</f>
        <v/>
      </c>
      <c r="F11" s="17">
        <f>IFERROR(INDEX(Artikelstamm!$C:$C,$J11),"")</f>
        <v/>
      </c>
      <c r="G11" s="17">
        <f>IFERROR(INDEX(Artikelstamm!$H:$H,$J11),"")</f>
        <v/>
      </c>
      <c r="H11" s="15">
        <f>IFERROR(INDEX(Artikelstamm!$A:$A,$J11),"")</f>
        <v/>
      </c>
      <c r="J11">
        <f>IFERROR(MATCH(ROW()-7,Artikelstamm!$L$5:$L$500,0)+4,"")</f>
        <v/>
      </c>
    </row>
    <row r="12">
      <c r="A12" s="13">
        <f>IFERROR(INDEX(Artikelstamm!$B:$B,$J12),"")</f>
        <v/>
      </c>
      <c r="B12" s="14">
        <f>IFERROR(INDEX(Artikelstamm!$D:$D,$J12),"")</f>
        <v/>
      </c>
      <c r="C12" s="12">
        <f>IFERROR(INDEX(Artikelstamm!$E:$E,$J12),"")</f>
        <v/>
      </c>
      <c r="D12" s="14">
        <f>IFERROR(INDEX(Artikelstamm!$F:$F,$J12),"")</f>
        <v/>
      </c>
      <c r="E12" s="14">
        <f>IFERROR(INDEX(Artikelstamm!$G:$G,$J12),"")</f>
        <v/>
      </c>
      <c r="F12" s="14">
        <f>IFERROR(INDEX(Artikelstamm!$C:$C,$J12),"")</f>
        <v/>
      </c>
      <c r="G12" s="14">
        <f>IFERROR(INDEX(Artikelstamm!$H:$H,$J12),"")</f>
        <v/>
      </c>
      <c r="H12" s="12">
        <f>IFERROR(INDEX(Artikelstamm!$A:$A,$J12),"")</f>
        <v/>
      </c>
      <c r="J12">
        <f>IFERROR(MATCH(ROW()-7,Artikelstamm!$L$5:$L$500,0)+4,"")</f>
        <v/>
      </c>
    </row>
    <row r="13">
      <c r="A13" s="16">
        <f>IFERROR(INDEX(Artikelstamm!$B:$B,$J13),"")</f>
        <v/>
      </c>
      <c r="B13" s="17">
        <f>IFERROR(INDEX(Artikelstamm!$D:$D,$J13),"")</f>
        <v/>
      </c>
      <c r="C13" s="15">
        <f>IFERROR(INDEX(Artikelstamm!$E:$E,$J13),"")</f>
        <v/>
      </c>
      <c r="D13" s="17">
        <f>IFERROR(INDEX(Artikelstamm!$F:$F,$J13),"")</f>
        <v/>
      </c>
      <c r="E13" s="17">
        <f>IFERROR(INDEX(Artikelstamm!$G:$G,$J13),"")</f>
        <v/>
      </c>
      <c r="F13" s="17">
        <f>IFERROR(INDEX(Artikelstamm!$C:$C,$J13),"")</f>
        <v/>
      </c>
      <c r="G13" s="17">
        <f>IFERROR(INDEX(Artikelstamm!$H:$H,$J13),"")</f>
        <v/>
      </c>
      <c r="H13" s="15">
        <f>IFERROR(INDEX(Artikelstamm!$A:$A,$J13),"")</f>
        <v/>
      </c>
      <c r="J13">
        <f>IFERROR(MATCH(ROW()-7,Artikelstamm!$L$5:$L$500,0)+4,"")</f>
        <v/>
      </c>
    </row>
    <row r="14">
      <c r="A14" s="13">
        <f>IFERROR(INDEX(Artikelstamm!$B:$B,$J14),"")</f>
        <v/>
      </c>
      <c r="B14" s="14">
        <f>IFERROR(INDEX(Artikelstamm!$D:$D,$J14),"")</f>
        <v/>
      </c>
      <c r="C14" s="12">
        <f>IFERROR(INDEX(Artikelstamm!$E:$E,$J14),"")</f>
        <v/>
      </c>
      <c r="D14" s="14">
        <f>IFERROR(INDEX(Artikelstamm!$F:$F,$J14),"")</f>
        <v/>
      </c>
      <c r="E14" s="14">
        <f>IFERROR(INDEX(Artikelstamm!$G:$G,$J14),"")</f>
        <v/>
      </c>
      <c r="F14" s="14">
        <f>IFERROR(INDEX(Artikelstamm!$C:$C,$J14),"")</f>
        <v/>
      </c>
      <c r="G14" s="14">
        <f>IFERROR(INDEX(Artikelstamm!$H:$H,$J14),"")</f>
        <v/>
      </c>
      <c r="H14" s="12">
        <f>IFERROR(INDEX(Artikelstamm!$A:$A,$J14),"")</f>
        <v/>
      </c>
      <c r="J14">
        <f>IFERROR(MATCH(ROW()-7,Artikelstamm!$L$5:$L$500,0)+4,"")</f>
        <v/>
      </c>
    </row>
    <row r="15">
      <c r="A15" s="16">
        <f>IFERROR(INDEX(Artikelstamm!$B:$B,$J15),"")</f>
        <v/>
      </c>
      <c r="B15" s="17">
        <f>IFERROR(INDEX(Artikelstamm!$D:$D,$J15),"")</f>
        <v/>
      </c>
      <c r="C15" s="15">
        <f>IFERROR(INDEX(Artikelstamm!$E:$E,$J15),"")</f>
        <v/>
      </c>
      <c r="D15" s="17">
        <f>IFERROR(INDEX(Artikelstamm!$F:$F,$J15),"")</f>
        <v/>
      </c>
      <c r="E15" s="17">
        <f>IFERROR(INDEX(Artikelstamm!$G:$G,$J15),"")</f>
        <v/>
      </c>
      <c r="F15" s="17">
        <f>IFERROR(INDEX(Artikelstamm!$C:$C,$J15),"")</f>
        <v/>
      </c>
      <c r="G15" s="17">
        <f>IFERROR(INDEX(Artikelstamm!$H:$H,$J15),"")</f>
        <v/>
      </c>
      <c r="H15" s="15">
        <f>IFERROR(INDEX(Artikelstamm!$A:$A,$J15),"")</f>
        <v/>
      </c>
      <c r="J15">
        <f>IFERROR(MATCH(ROW()-7,Artikelstamm!$L$5:$L$500,0)+4,"")</f>
        <v/>
      </c>
    </row>
    <row r="16">
      <c r="A16" s="13">
        <f>IFERROR(INDEX(Artikelstamm!$B:$B,$J16),"")</f>
        <v/>
      </c>
      <c r="B16" s="14">
        <f>IFERROR(INDEX(Artikelstamm!$D:$D,$J16),"")</f>
        <v/>
      </c>
      <c r="C16" s="12">
        <f>IFERROR(INDEX(Artikelstamm!$E:$E,$J16),"")</f>
        <v/>
      </c>
      <c r="D16" s="14">
        <f>IFERROR(INDEX(Artikelstamm!$F:$F,$J16),"")</f>
        <v/>
      </c>
      <c r="E16" s="14">
        <f>IFERROR(INDEX(Artikelstamm!$G:$G,$J16),"")</f>
        <v/>
      </c>
      <c r="F16" s="14">
        <f>IFERROR(INDEX(Artikelstamm!$C:$C,$J16),"")</f>
        <v/>
      </c>
      <c r="G16" s="14">
        <f>IFERROR(INDEX(Artikelstamm!$H:$H,$J16),"")</f>
        <v/>
      </c>
      <c r="H16" s="12">
        <f>IFERROR(INDEX(Artikelstamm!$A:$A,$J16),"")</f>
        <v/>
      </c>
      <c r="J16">
        <f>IFERROR(MATCH(ROW()-7,Artikelstamm!$L$5:$L$500,0)+4,"")</f>
        <v/>
      </c>
    </row>
    <row r="17">
      <c r="A17" s="16">
        <f>IFERROR(INDEX(Artikelstamm!$B:$B,$J17),"")</f>
        <v/>
      </c>
      <c r="B17" s="17">
        <f>IFERROR(INDEX(Artikelstamm!$D:$D,$J17),"")</f>
        <v/>
      </c>
      <c r="C17" s="15">
        <f>IFERROR(INDEX(Artikelstamm!$E:$E,$J17),"")</f>
        <v/>
      </c>
      <c r="D17" s="17">
        <f>IFERROR(INDEX(Artikelstamm!$F:$F,$J17),"")</f>
        <v/>
      </c>
      <c r="E17" s="17">
        <f>IFERROR(INDEX(Artikelstamm!$G:$G,$J17),"")</f>
        <v/>
      </c>
      <c r="F17" s="17">
        <f>IFERROR(INDEX(Artikelstamm!$C:$C,$J17),"")</f>
        <v/>
      </c>
      <c r="G17" s="17">
        <f>IFERROR(INDEX(Artikelstamm!$H:$H,$J17),"")</f>
        <v/>
      </c>
      <c r="H17" s="15">
        <f>IFERROR(INDEX(Artikelstamm!$A:$A,$J17),"")</f>
        <v/>
      </c>
      <c r="J17">
        <f>IFERROR(MATCH(ROW()-7,Artikelstamm!$L$5:$L$500,0)+4,"")</f>
        <v/>
      </c>
    </row>
    <row r="18">
      <c r="A18" s="13">
        <f>IFERROR(INDEX(Artikelstamm!$B:$B,$J18),"")</f>
        <v/>
      </c>
      <c r="B18" s="14">
        <f>IFERROR(INDEX(Artikelstamm!$D:$D,$J18),"")</f>
        <v/>
      </c>
      <c r="C18" s="12">
        <f>IFERROR(INDEX(Artikelstamm!$E:$E,$J18),"")</f>
        <v/>
      </c>
      <c r="D18" s="14">
        <f>IFERROR(INDEX(Artikelstamm!$F:$F,$J18),"")</f>
        <v/>
      </c>
      <c r="E18" s="14">
        <f>IFERROR(INDEX(Artikelstamm!$G:$G,$J18),"")</f>
        <v/>
      </c>
      <c r="F18" s="14">
        <f>IFERROR(INDEX(Artikelstamm!$C:$C,$J18),"")</f>
        <v/>
      </c>
      <c r="G18" s="14">
        <f>IFERROR(INDEX(Artikelstamm!$H:$H,$J18),"")</f>
        <v/>
      </c>
      <c r="H18" s="12">
        <f>IFERROR(INDEX(Artikelstamm!$A:$A,$J18),"")</f>
        <v/>
      </c>
      <c r="J18">
        <f>IFERROR(MATCH(ROW()-7,Artikelstamm!$L$5:$L$500,0)+4,"")</f>
        <v/>
      </c>
    </row>
    <row r="19">
      <c r="A19" s="16">
        <f>IFERROR(INDEX(Artikelstamm!$B:$B,$J19),"")</f>
        <v/>
      </c>
      <c r="B19" s="17">
        <f>IFERROR(INDEX(Artikelstamm!$D:$D,$J19),"")</f>
        <v/>
      </c>
      <c r="C19" s="15">
        <f>IFERROR(INDEX(Artikelstamm!$E:$E,$J19),"")</f>
        <v/>
      </c>
      <c r="D19" s="17">
        <f>IFERROR(INDEX(Artikelstamm!$F:$F,$J19),"")</f>
        <v/>
      </c>
      <c r="E19" s="17">
        <f>IFERROR(INDEX(Artikelstamm!$G:$G,$J19),"")</f>
        <v/>
      </c>
      <c r="F19" s="17">
        <f>IFERROR(INDEX(Artikelstamm!$C:$C,$J19),"")</f>
        <v/>
      </c>
      <c r="G19" s="17">
        <f>IFERROR(INDEX(Artikelstamm!$H:$H,$J19),"")</f>
        <v/>
      </c>
      <c r="H19" s="15">
        <f>IFERROR(INDEX(Artikelstamm!$A:$A,$J19),"")</f>
        <v/>
      </c>
      <c r="J19">
        <f>IFERROR(MATCH(ROW()-7,Artikelstamm!$L$5:$L$500,0)+4,"")</f>
        <v/>
      </c>
    </row>
    <row r="20">
      <c r="A20" s="13">
        <f>IFERROR(INDEX(Artikelstamm!$B:$B,$J20),"")</f>
        <v/>
      </c>
      <c r="B20" s="14">
        <f>IFERROR(INDEX(Artikelstamm!$D:$D,$J20),"")</f>
        <v/>
      </c>
      <c r="C20" s="12">
        <f>IFERROR(INDEX(Artikelstamm!$E:$E,$J20),"")</f>
        <v/>
      </c>
      <c r="D20" s="14">
        <f>IFERROR(INDEX(Artikelstamm!$F:$F,$J20),"")</f>
        <v/>
      </c>
      <c r="E20" s="14">
        <f>IFERROR(INDEX(Artikelstamm!$G:$G,$J20),"")</f>
        <v/>
      </c>
      <c r="F20" s="14">
        <f>IFERROR(INDEX(Artikelstamm!$C:$C,$J20),"")</f>
        <v/>
      </c>
      <c r="G20" s="14">
        <f>IFERROR(INDEX(Artikelstamm!$H:$H,$J20),"")</f>
        <v/>
      </c>
      <c r="H20" s="12">
        <f>IFERROR(INDEX(Artikelstamm!$A:$A,$J20),"")</f>
        <v/>
      </c>
      <c r="J20">
        <f>IFERROR(MATCH(ROW()-7,Artikelstamm!$L$5:$L$500,0)+4,"")</f>
        <v/>
      </c>
    </row>
    <row r="21">
      <c r="A21" s="16">
        <f>IFERROR(INDEX(Artikelstamm!$B:$B,$J21),"")</f>
        <v/>
      </c>
      <c r="B21" s="17">
        <f>IFERROR(INDEX(Artikelstamm!$D:$D,$J21),"")</f>
        <v/>
      </c>
      <c r="C21" s="15">
        <f>IFERROR(INDEX(Artikelstamm!$E:$E,$J21),"")</f>
        <v/>
      </c>
      <c r="D21" s="17">
        <f>IFERROR(INDEX(Artikelstamm!$F:$F,$J21),"")</f>
        <v/>
      </c>
      <c r="E21" s="17">
        <f>IFERROR(INDEX(Artikelstamm!$G:$G,$J21),"")</f>
        <v/>
      </c>
      <c r="F21" s="17">
        <f>IFERROR(INDEX(Artikelstamm!$C:$C,$J21),"")</f>
        <v/>
      </c>
      <c r="G21" s="17">
        <f>IFERROR(INDEX(Artikelstamm!$H:$H,$J21),"")</f>
        <v/>
      </c>
      <c r="H21" s="15">
        <f>IFERROR(INDEX(Artikelstamm!$A:$A,$J21),"")</f>
        <v/>
      </c>
      <c r="J21">
        <f>IFERROR(MATCH(ROW()-7,Artikelstamm!$L$5:$L$500,0)+4,"")</f>
        <v/>
      </c>
    </row>
    <row r="22">
      <c r="A22" s="13">
        <f>IFERROR(INDEX(Artikelstamm!$B:$B,$J22),"")</f>
        <v/>
      </c>
      <c r="B22" s="14">
        <f>IFERROR(INDEX(Artikelstamm!$D:$D,$J22),"")</f>
        <v/>
      </c>
      <c r="C22" s="12">
        <f>IFERROR(INDEX(Artikelstamm!$E:$E,$J22),"")</f>
        <v/>
      </c>
      <c r="D22" s="14">
        <f>IFERROR(INDEX(Artikelstamm!$F:$F,$J22),"")</f>
        <v/>
      </c>
      <c r="E22" s="14">
        <f>IFERROR(INDEX(Artikelstamm!$G:$G,$J22),"")</f>
        <v/>
      </c>
      <c r="F22" s="14">
        <f>IFERROR(INDEX(Artikelstamm!$C:$C,$J22),"")</f>
        <v/>
      </c>
      <c r="G22" s="14">
        <f>IFERROR(INDEX(Artikelstamm!$H:$H,$J22),"")</f>
        <v/>
      </c>
      <c r="H22" s="12">
        <f>IFERROR(INDEX(Artikelstamm!$A:$A,$J22),"")</f>
        <v/>
      </c>
      <c r="J22">
        <f>IFERROR(MATCH(ROW()-7,Artikelstamm!$L$5:$L$500,0)+4,"")</f>
        <v/>
      </c>
    </row>
    <row r="23">
      <c r="A23" s="16">
        <f>IFERROR(INDEX(Artikelstamm!$B:$B,$J23),"")</f>
        <v/>
      </c>
      <c r="B23" s="17">
        <f>IFERROR(INDEX(Artikelstamm!$D:$D,$J23),"")</f>
        <v/>
      </c>
      <c r="C23" s="15">
        <f>IFERROR(INDEX(Artikelstamm!$E:$E,$J23),"")</f>
        <v/>
      </c>
      <c r="D23" s="17">
        <f>IFERROR(INDEX(Artikelstamm!$F:$F,$J23),"")</f>
        <v/>
      </c>
      <c r="E23" s="17">
        <f>IFERROR(INDEX(Artikelstamm!$G:$G,$J23),"")</f>
        <v/>
      </c>
      <c r="F23" s="17">
        <f>IFERROR(INDEX(Artikelstamm!$C:$C,$J23),"")</f>
        <v/>
      </c>
      <c r="G23" s="17">
        <f>IFERROR(INDEX(Artikelstamm!$H:$H,$J23),"")</f>
        <v/>
      </c>
      <c r="H23" s="15">
        <f>IFERROR(INDEX(Artikelstamm!$A:$A,$J23),"")</f>
        <v/>
      </c>
      <c r="J23">
        <f>IFERROR(MATCH(ROW()-7,Artikelstamm!$L$5:$L$500,0)+4,"")</f>
        <v/>
      </c>
    </row>
    <row r="24">
      <c r="A24" s="13">
        <f>IFERROR(INDEX(Artikelstamm!$B:$B,$J24),"")</f>
        <v/>
      </c>
      <c r="B24" s="14">
        <f>IFERROR(INDEX(Artikelstamm!$D:$D,$J24),"")</f>
        <v/>
      </c>
      <c r="C24" s="12">
        <f>IFERROR(INDEX(Artikelstamm!$E:$E,$J24),"")</f>
        <v/>
      </c>
      <c r="D24" s="14">
        <f>IFERROR(INDEX(Artikelstamm!$F:$F,$J24),"")</f>
        <v/>
      </c>
      <c r="E24" s="14">
        <f>IFERROR(INDEX(Artikelstamm!$G:$G,$J24),"")</f>
        <v/>
      </c>
      <c r="F24" s="14">
        <f>IFERROR(INDEX(Artikelstamm!$C:$C,$J24),"")</f>
        <v/>
      </c>
      <c r="G24" s="14">
        <f>IFERROR(INDEX(Artikelstamm!$H:$H,$J24),"")</f>
        <v/>
      </c>
      <c r="H24" s="12">
        <f>IFERROR(INDEX(Artikelstamm!$A:$A,$J24),"")</f>
        <v/>
      </c>
      <c r="J24">
        <f>IFERROR(MATCH(ROW()-7,Artikelstamm!$L$5:$L$500,0)+4,"")</f>
        <v/>
      </c>
    </row>
    <row r="25">
      <c r="A25" s="16">
        <f>IFERROR(INDEX(Artikelstamm!$B:$B,$J25),"")</f>
        <v/>
      </c>
      <c r="B25" s="17">
        <f>IFERROR(INDEX(Artikelstamm!$D:$D,$J25),"")</f>
        <v/>
      </c>
      <c r="C25" s="15">
        <f>IFERROR(INDEX(Artikelstamm!$E:$E,$J25),"")</f>
        <v/>
      </c>
      <c r="D25" s="17">
        <f>IFERROR(INDEX(Artikelstamm!$F:$F,$J25),"")</f>
        <v/>
      </c>
      <c r="E25" s="17">
        <f>IFERROR(INDEX(Artikelstamm!$G:$G,$J25),"")</f>
        <v/>
      </c>
      <c r="F25" s="17">
        <f>IFERROR(INDEX(Artikelstamm!$C:$C,$J25),"")</f>
        <v/>
      </c>
      <c r="G25" s="17">
        <f>IFERROR(INDEX(Artikelstamm!$H:$H,$J25),"")</f>
        <v/>
      </c>
      <c r="H25" s="15">
        <f>IFERROR(INDEX(Artikelstamm!$A:$A,$J25),"")</f>
        <v/>
      </c>
      <c r="J25">
        <f>IFERROR(MATCH(ROW()-7,Artikelstamm!$L$5:$L$500,0)+4,"")</f>
        <v/>
      </c>
    </row>
    <row r="26">
      <c r="A26" s="13">
        <f>IFERROR(INDEX(Artikelstamm!$B:$B,$J26),"")</f>
        <v/>
      </c>
      <c r="B26" s="14">
        <f>IFERROR(INDEX(Artikelstamm!$D:$D,$J26),"")</f>
        <v/>
      </c>
      <c r="C26" s="12">
        <f>IFERROR(INDEX(Artikelstamm!$E:$E,$J26),"")</f>
        <v/>
      </c>
      <c r="D26" s="14">
        <f>IFERROR(INDEX(Artikelstamm!$F:$F,$J26),"")</f>
        <v/>
      </c>
      <c r="E26" s="14">
        <f>IFERROR(INDEX(Artikelstamm!$G:$G,$J26),"")</f>
        <v/>
      </c>
      <c r="F26" s="14">
        <f>IFERROR(INDEX(Artikelstamm!$C:$C,$J26),"")</f>
        <v/>
      </c>
      <c r="G26" s="14">
        <f>IFERROR(INDEX(Artikelstamm!$H:$H,$J26),"")</f>
        <v/>
      </c>
      <c r="H26" s="12">
        <f>IFERROR(INDEX(Artikelstamm!$A:$A,$J26),"")</f>
        <v/>
      </c>
      <c r="J26">
        <f>IFERROR(MATCH(ROW()-7,Artikelstamm!$L$5:$L$500,0)+4,"")</f>
        <v/>
      </c>
    </row>
    <row r="27">
      <c r="A27" s="16">
        <f>IFERROR(INDEX(Artikelstamm!$B:$B,$J27),"")</f>
        <v/>
      </c>
      <c r="B27" s="17">
        <f>IFERROR(INDEX(Artikelstamm!$D:$D,$J27),"")</f>
        <v/>
      </c>
      <c r="C27" s="15">
        <f>IFERROR(INDEX(Artikelstamm!$E:$E,$J27),"")</f>
        <v/>
      </c>
      <c r="D27" s="17">
        <f>IFERROR(INDEX(Artikelstamm!$F:$F,$J27),"")</f>
        <v/>
      </c>
      <c r="E27" s="17">
        <f>IFERROR(INDEX(Artikelstamm!$G:$G,$J27),"")</f>
        <v/>
      </c>
      <c r="F27" s="17">
        <f>IFERROR(INDEX(Artikelstamm!$C:$C,$J27),"")</f>
        <v/>
      </c>
      <c r="G27" s="17">
        <f>IFERROR(INDEX(Artikelstamm!$H:$H,$J27),"")</f>
        <v/>
      </c>
      <c r="H27" s="15">
        <f>IFERROR(INDEX(Artikelstamm!$A:$A,$J27),"")</f>
        <v/>
      </c>
      <c r="J27">
        <f>IFERROR(MATCH(ROW()-7,Artikelstamm!$L$5:$L$500,0)+4,"")</f>
        <v/>
      </c>
    </row>
    <row r="28">
      <c r="A28" s="13">
        <f>IFERROR(INDEX(Artikelstamm!$B:$B,$J28),"")</f>
        <v/>
      </c>
      <c r="B28" s="14">
        <f>IFERROR(INDEX(Artikelstamm!$D:$D,$J28),"")</f>
        <v/>
      </c>
      <c r="C28" s="12">
        <f>IFERROR(INDEX(Artikelstamm!$E:$E,$J28),"")</f>
        <v/>
      </c>
      <c r="D28" s="14">
        <f>IFERROR(INDEX(Artikelstamm!$F:$F,$J28),"")</f>
        <v/>
      </c>
      <c r="E28" s="14">
        <f>IFERROR(INDEX(Artikelstamm!$G:$G,$J28),"")</f>
        <v/>
      </c>
      <c r="F28" s="14">
        <f>IFERROR(INDEX(Artikelstamm!$C:$C,$J28),"")</f>
        <v/>
      </c>
      <c r="G28" s="14">
        <f>IFERROR(INDEX(Artikelstamm!$H:$H,$J28),"")</f>
        <v/>
      </c>
      <c r="H28" s="12">
        <f>IFERROR(INDEX(Artikelstamm!$A:$A,$J28),"")</f>
        <v/>
      </c>
      <c r="J28">
        <f>IFERROR(MATCH(ROW()-7,Artikelstamm!$L$5:$L$500,0)+4,"")</f>
        <v/>
      </c>
    </row>
    <row r="29">
      <c r="A29" s="16">
        <f>IFERROR(INDEX(Artikelstamm!$B:$B,$J29),"")</f>
        <v/>
      </c>
      <c r="B29" s="17">
        <f>IFERROR(INDEX(Artikelstamm!$D:$D,$J29),"")</f>
        <v/>
      </c>
      <c r="C29" s="15">
        <f>IFERROR(INDEX(Artikelstamm!$E:$E,$J29),"")</f>
        <v/>
      </c>
      <c r="D29" s="17">
        <f>IFERROR(INDEX(Artikelstamm!$F:$F,$J29),"")</f>
        <v/>
      </c>
      <c r="E29" s="17">
        <f>IFERROR(INDEX(Artikelstamm!$G:$G,$J29),"")</f>
        <v/>
      </c>
      <c r="F29" s="17">
        <f>IFERROR(INDEX(Artikelstamm!$C:$C,$J29),"")</f>
        <v/>
      </c>
      <c r="G29" s="17">
        <f>IFERROR(INDEX(Artikelstamm!$H:$H,$J29),"")</f>
        <v/>
      </c>
      <c r="H29" s="15">
        <f>IFERROR(INDEX(Artikelstamm!$A:$A,$J29),"")</f>
        <v/>
      </c>
      <c r="J29">
        <f>IFERROR(MATCH(ROW()-7,Artikelstamm!$L$5:$L$500,0)+4,"")</f>
        <v/>
      </c>
    </row>
    <row r="30">
      <c r="A30" s="13">
        <f>IFERROR(INDEX(Artikelstamm!$B:$B,$J30),"")</f>
        <v/>
      </c>
      <c r="B30" s="14">
        <f>IFERROR(INDEX(Artikelstamm!$D:$D,$J30),"")</f>
        <v/>
      </c>
      <c r="C30" s="12">
        <f>IFERROR(INDEX(Artikelstamm!$E:$E,$J30),"")</f>
        <v/>
      </c>
      <c r="D30" s="14">
        <f>IFERROR(INDEX(Artikelstamm!$F:$F,$J30),"")</f>
        <v/>
      </c>
      <c r="E30" s="14">
        <f>IFERROR(INDEX(Artikelstamm!$G:$G,$J30),"")</f>
        <v/>
      </c>
      <c r="F30" s="14">
        <f>IFERROR(INDEX(Artikelstamm!$C:$C,$J30),"")</f>
        <v/>
      </c>
      <c r="G30" s="14">
        <f>IFERROR(INDEX(Artikelstamm!$H:$H,$J30),"")</f>
        <v/>
      </c>
      <c r="H30" s="12">
        <f>IFERROR(INDEX(Artikelstamm!$A:$A,$J30),"")</f>
        <v/>
      </c>
      <c r="J30">
        <f>IFERROR(MATCH(ROW()-7,Artikelstamm!$L$5:$L$500,0)+4,"")</f>
        <v/>
      </c>
    </row>
    <row r="31">
      <c r="A31" s="16">
        <f>IFERROR(INDEX(Artikelstamm!$B:$B,$J31),"")</f>
        <v/>
      </c>
      <c r="B31" s="17">
        <f>IFERROR(INDEX(Artikelstamm!$D:$D,$J31),"")</f>
        <v/>
      </c>
      <c r="C31" s="15">
        <f>IFERROR(INDEX(Artikelstamm!$E:$E,$J31),"")</f>
        <v/>
      </c>
      <c r="D31" s="17">
        <f>IFERROR(INDEX(Artikelstamm!$F:$F,$J31),"")</f>
        <v/>
      </c>
      <c r="E31" s="17">
        <f>IFERROR(INDEX(Artikelstamm!$G:$G,$J31),"")</f>
        <v/>
      </c>
      <c r="F31" s="17">
        <f>IFERROR(INDEX(Artikelstamm!$C:$C,$J31),"")</f>
        <v/>
      </c>
      <c r="G31" s="17">
        <f>IFERROR(INDEX(Artikelstamm!$H:$H,$J31),"")</f>
        <v/>
      </c>
      <c r="H31" s="15">
        <f>IFERROR(INDEX(Artikelstamm!$A:$A,$J31),"")</f>
        <v/>
      </c>
      <c r="J31">
        <f>IFERROR(MATCH(ROW()-7,Artikelstamm!$L$5:$L$500,0)+4,"")</f>
        <v/>
      </c>
    </row>
    <row r="32">
      <c r="A32" s="13">
        <f>IFERROR(INDEX(Artikelstamm!$B:$B,$J32),"")</f>
        <v/>
      </c>
      <c r="B32" s="14">
        <f>IFERROR(INDEX(Artikelstamm!$D:$D,$J32),"")</f>
        <v/>
      </c>
      <c r="C32" s="12">
        <f>IFERROR(INDEX(Artikelstamm!$E:$E,$J32),"")</f>
        <v/>
      </c>
      <c r="D32" s="14">
        <f>IFERROR(INDEX(Artikelstamm!$F:$F,$J32),"")</f>
        <v/>
      </c>
      <c r="E32" s="14">
        <f>IFERROR(INDEX(Artikelstamm!$G:$G,$J32),"")</f>
        <v/>
      </c>
      <c r="F32" s="14">
        <f>IFERROR(INDEX(Artikelstamm!$C:$C,$J32),"")</f>
        <v/>
      </c>
      <c r="G32" s="14">
        <f>IFERROR(INDEX(Artikelstamm!$H:$H,$J32),"")</f>
        <v/>
      </c>
      <c r="H32" s="12">
        <f>IFERROR(INDEX(Artikelstamm!$A:$A,$J32),"")</f>
        <v/>
      </c>
      <c r="J32">
        <f>IFERROR(MATCH(ROW()-7,Artikelstamm!$L$5:$L$500,0)+4,"")</f>
        <v/>
      </c>
    </row>
    <row r="33">
      <c r="A33" s="16">
        <f>IFERROR(INDEX(Artikelstamm!$B:$B,$J33),"")</f>
        <v/>
      </c>
      <c r="B33" s="17">
        <f>IFERROR(INDEX(Artikelstamm!$D:$D,$J33),"")</f>
        <v/>
      </c>
      <c r="C33" s="15">
        <f>IFERROR(INDEX(Artikelstamm!$E:$E,$J33),"")</f>
        <v/>
      </c>
      <c r="D33" s="17">
        <f>IFERROR(INDEX(Artikelstamm!$F:$F,$J33),"")</f>
        <v/>
      </c>
      <c r="E33" s="17">
        <f>IFERROR(INDEX(Artikelstamm!$G:$G,$J33),"")</f>
        <v/>
      </c>
      <c r="F33" s="17">
        <f>IFERROR(INDEX(Artikelstamm!$C:$C,$J33),"")</f>
        <v/>
      </c>
      <c r="G33" s="17">
        <f>IFERROR(INDEX(Artikelstamm!$H:$H,$J33),"")</f>
        <v/>
      </c>
      <c r="H33" s="15">
        <f>IFERROR(INDEX(Artikelstamm!$A:$A,$J33),"")</f>
        <v/>
      </c>
      <c r="J33">
        <f>IFERROR(MATCH(ROW()-7,Artikelstamm!$L$5:$L$500,0)+4,"")</f>
        <v/>
      </c>
    </row>
    <row r="34">
      <c r="A34" s="13">
        <f>IFERROR(INDEX(Artikelstamm!$B:$B,$J34),"")</f>
        <v/>
      </c>
      <c r="B34" s="14">
        <f>IFERROR(INDEX(Artikelstamm!$D:$D,$J34),"")</f>
        <v/>
      </c>
      <c r="C34" s="12">
        <f>IFERROR(INDEX(Artikelstamm!$E:$E,$J34),"")</f>
        <v/>
      </c>
      <c r="D34" s="14">
        <f>IFERROR(INDEX(Artikelstamm!$F:$F,$J34),"")</f>
        <v/>
      </c>
      <c r="E34" s="14">
        <f>IFERROR(INDEX(Artikelstamm!$G:$G,$J34),"")</f>
        <v/>
      </c>
      <c r="F34" s="14">
        <f>IFERROR(INDEX(Artikelstamm!$C:$C,$J34),"")</f>
        <v/>
      </c>
      <c r="G34" s="14">
        <f>IFERROR(INDEX(Artikelstamm!$H:$H,$J34),"")</f>
        <v/>
      </c>
      <c r="H34" s="12">
        <f>IFERROR(INDEX(Artikelstamm!$A:$A,$J34),"")</f>
        <v/>
      </c>
      <c r="J34">
        <f>IFERROR(MATCH(ROW()-7,Artikelstamm!$L$5:$L$500,0)+4,"")</f>
        <v/>
      </c>
    </row>
    <row r="35">
      <c r="A35" s="16">
        <f>IFERROR(INDEX(Artikelstamm!$B:$B,$J35),"")</f>
        <v/>
      </c>
      <c r="B35" s="17">
        <f>IFERROR(INDEX(Artikelstamm!$D:$D,$J35),"")</f>
        <v/>
      </c>
      <c r="C35" s="15">
        <f>IFERROR(INDEX(Artikelstamm!$E:$E,$J35),"")</f>
        <v/>
      </c>
      <c r="D35" s="17">
        <f>IFERROR(INDEX(Artikelstamm!$F:$F,$J35),"")</f>
        <v/>
      </c>
      <c r="E35" s="17">
        <f>IFERROR(INDEX(Artikelstamm!$G:$G,$J35),"")</f>
        <v/>
      </c>
      <c r="F35" s="17">
        <f>IFERROR(INDEX(Artikelstamm!$C:$C,$J35),"")</f>
        <v/>
      </c>
      <c r="G35" s="17">
        <f>IFERROR(INDEX(Artikelstamm!$H:$H,$J35),"")</f>
        <v/>
      </c>
      <c r="H35" s="15">
        <f>IFERROR(INDEX(Artikelstamm!$A:$A,$J35),"")</f>
        <v/>
      </c>
      <c r="J35">
        <f>IFERROR(MATCH(ROW()-7,Artikelstamm!$L$5:$L$500,0)+4,"")</f>
        <v/>
      </c>
    </row>
    <row r="36">
      <c r="A36" s="13">
        <f>IFERROR(INDEX(Artikelstamm!$B:$B,$J36),"")</f>
        <v/>
      </c>
      <c r="B36" s="14">
        <f>IFERROR(INDEX(Artikelstamm!$D:$D,$J36),"")</f>
        <v/>
      </c>
      <c r="C36" s="12">
        <f>IFERROR(INDEX(Artikelstamm!$E:$E,$J36),"")</f>
        <v/>
      </c>
      <c r="D36" s="14">
        <f>IFERROR(INDEX(Artikelstamm!$F:$F,$J36),"")</f>
        <v/>
      </c>
      <c r="E36" s="14">
        <f>IFERROR(INDEX(Artikelstamm!$G:$G,$J36),"")</f>
        <v/>
      </c>
      <c r="F36" s="14">
        <f>IFERROR(INDEX(Artikelstamm!$C:$C,$J36),"")</f>
        <v/>
      </c>
      <c r="G36" s="14">
        <f>IFERROR(INDEX(Artikelstamm!$H:$H,$J36),"")</f>
        <v/>
      </c>
      <c r="H36" s="12">
        <f>IFERROR(INDEX(Artikelstamm!$A:$A,$J36),"")</f>
        <v/>
      </c>
      <c r="J36">
        <f>IFERROR(MATCH(ROW()-7,Artikelstamm!$L$5:$L$500,0)+4,"")</f>
        <v/>
      </c>
    </row>
    <row r="37">
      <c r="A37" s="16">
        <f>IFERROR(INDEX(Artikelstamm!$B:$B,$J37),"")</f>
        <v/>
      </c>
      <c r="B37" s="17">
        <f>IFERROR(INDEX(Artikelstamm!$D:$D,$J37),"")</f>
        <v/>
      </c>
      <c r="C37" s="15">
        <f>IFERROR(INDEX(Artikelstamm!$E:$E,$J37),"")</f>
        <v/>
      </c>
      <c r="D37" s="17">
        <f>IFERROR(INDEX(Artikelstamm!$F:$F,$J37),"")</f>
        <v/>
      </c>
      <c r="E37" s="17">
        <f>IFERROR(INDEX(Artikelstamm!$G:$G,$J37),"")</f>
        <v/>
      </c>
      <c r="F37" s="17">
        <f>IFERROR(INDEX(Artikelstamm!$C:$C,$J37),"")</f>
        <v/>
      </c>
      <c r="G37" s="17">
        <f>IFERROR(INDEX(Artikelstamm!$H:$H,$J37),"")</f>
        <v/>
      </c>
      <c r="H37" s="15">
        <f>IFERROR(INDEX(Artikelstamm!$A:$A,$J37),"")</f>
        <v/>
      </c>
      <c r="J37">
        <f>IFERROR(MATCH(ROW()-7,Artikelstamm!$L$5:$L$500,0)+4,"")</f>
        <v/>
      </c>
    </row>
    <row r="38">
      <c r="A38" s="13">
        <f>IFERROR(INDEX(Artikelstamm!$B:$B,$J38),"")</f>
        <v/>
      </c>
      <c r="B38" s="14">
        <f>IFERROR(INDEX(Artikelstamm!$D:$D,$J38),"")</f>
        <v/>
      </c>
      <c r="C38" s="12">
        <f>IFERROR(INDEX(Artikelstamm!$E:$E,$J38),"")</f>
        <v/>
      </c>
      <c r="D38" s="14">
        <f>IFERROR(INDEX(Artikelstamm!$F:$F,$J38),"")</f>
        <v/>
      </c>
      <c r="E38" s="14">
        <f>IFERROR(INDEX(Artikelstamm!$G:$G,$J38),"")</f>
        <v/>
      </c>
      <c r="F38" s="14">
        <f>IFERROR(INDEX(Artikelstamm!$C:$C,$J38),"")</f>
        <v/>
      </c>
      <c r="G38" s="14">
        <f>IFERROR(INDEX(Artikelstamm!$H:$H,$J38),"")</f>
        <v/>
      </c>
      <c r="H38" s="12">
        <f>IFERROR(INDEX(Artikelstamm!$A:$A,$J38),"")</f>
        <v/>
      </c>
      <c r="J38">
        <f>IFERROR(MATCH(ROW()-7,Artikelstamm!$L$5:$L$500,0)+4,"")</f>
        <v/>
      </c>
    </row>
    <row r="39">
      <c r="A39" s="16">
        <f>IFERROR(INDEX(Artikelstamm!$B:$B,$J39),"")</f>
        <v/>
      </c>
      <c r="B39" s="17">
        <f>IFERROR(INDEX(Artikelstamm!$D:$D,$J39),"")</f>
        <v/>
      </c>
      <c r="C39" s="15">
        <f>IFERROR(INDEX(Artikelstamm!$E:$E,$J39),"")</f>
        <v/>
      </c>
      <c r="D39" s="17">
        <f>IFERROR(INDEX(Artikelstamm!$F:$F,$J39),"")</f>
        <v/>
      </c>
      <c r="E39" s="17">
        <f>IFERROR(INDEX(Artikelstamm!$G:$G,$J39),"")</f>
        <v/>
      </c>
      <c r="F39" s="17">
        <f>IFERROR(INDEX(Artikelstamm!$C:$C,$J39),"")</f>
        <v/>
      </c>
      <c r="G39" s="17">
        <f>IFERROR(INDEX(Artikelstamm!$H:$H,$J39),"")</f>
        <v/>
      </c>
      <c r="H39" s="15">
        <f>IFERROR(INDEX(Artikelstamm!$A:$A,$J39),"")</f>
        <v/>
      </c>
      <c r="J39">
        <f>IFERROR(MATCH(ROW()-7,Artikelstamm!$L$5:$L$500,0)+4,"")</f>
        <v/>
      </c>
    </row>
    <row r="40">
      <c r="A40" s="13">
        <f>IFERROR(INDEX(Artikelstamm!$B:$B,$J40),"")</f>
        <v/>
      </c>
      <c r="B40" s="14">
        <f>IFERROR(INDEX(Artikelstamm!$D:$D,$J40),"")</f>
        <v/>
      </c>
      <c r="C40" s="12">
        <f>IFERROR(INDEX(Artikelstamm!$E:$E,$J40),"")</f>
        <v/>
      </c>
      <c r="D40" s="14">
        <f>IFERROR(INDEX(Artikelstamm!$F:$F,$J40),"")</f>
        <v/>
      </c>
      <c r="E40" s="14">
        <f>IFERROR(INDEX(Artikelstamm!$G:$G,$J40),"")</f>
        <v/>
      </c>
      <c r="F40" s="14">
        <f>IFERROR(INDEX(Artikelstamm!$C:$C,$J40),"")</f>
        <v/>
      </c>
      <c r="G40" s="14">
        <f>IFERROR(INDEX(Artikelstamm!$H:$H,$J40),"")</f>
        <v/>
      </c>
      <c r="H40" s="12">
        <f>IFERROR(INDEX(Artikelstamm!$A:$A,$J40),"")</f>
        <v/>
      </c>
      <c r="J40">
        <f>IFERROR(MATCH(ROW()-7,Artikelstamm!$L$5:$L$500,0)+4,"")</f>
        <v/>
      </c>
    </row>
    <row r="41">
      <c r="A41" s="16">
        <f>IFERROR(INDEX(Artikelstamm!$B:$B,$J41),"")</f>
        <v/>
      </c>
      <c r="B41" s="17">
        <f>IFERROR(INDEX(Artikelstamm!$D:$D,$J41),"")</f>
        <v/>
      </c>
      <c r="C41" s="15">
        <f>IFERROR(INDEX(Artikelstamm!$E:$E,$J41),"")</f>
        <v/>
      </c>
      <c r="D41" s="17">
        <f>IFERROR(INDEX(Artikelstamm!$F:$F,$J41),"")</f>
        <v/>
      </c>
      <c r="E41" s="17">
        <f>IFERROR(INDEX(Artikelstamm!$G:$G,$J41),"")</f>
        <v/>
      </c>
      <c r="F41" s="17">
        <f>IFERROR(INDEX(Artikelstamm!$C:$C,$J41),"")</f>
        <v/>
      </c>
      <c r="G41" s="17">
        <f>IFERROR(INDEX(Artikelstamm!$H:$H,$J41),"")</f>
        <v/>
      </c>
      <c r="H41" s="15">
        <f>IFERROR(INDEX(Artikelstamm!$A:$A,$J41),"")</f>
        <v/>
      </c>
      <c r="J41">
        <f>IFERROR(MATCH(ROW()-7,Artikelstamm!$L$5:$L$500,0)+4,"")</f>
        <v/>
      </c>
    </row>
    <row r="42">
      <c r="A42" s="13">
        <f>IFERROR(INDEX(Artikelstamm!$B:$B,$J42),"")</f>
        <v/>
      </c>
      <c r="B42" s="14">
        <f>IFERROR(INDEX(Artikelstamm!$D:$D,$J42),"")</f>
        <v/>
      </c>
      <c r="C42" s="12">
        <f>IFERROR(INDEX(Artikelstamm!$E:$E,$J42),"")</f>
        <v/>
      </c>
      <c r="D42" s="14">
        <f>IFERROR(INDEX(Artikelstamm!$F:$F,$J42),"")</f>
        <v/>
      </c>
      <c r="E42" s="14">
        <f>IFERROR(INDEX(Artikelstamm!$G:$G,$J42),"")</f>
        <v/>
      </c>
      <c r="F42" s="14">
        <f>IFERROR(INDEX(Artikelstamm!$C:$C,$J42),"")</f>
        <v/>
      </c>
      <c r="G42" s="14">
        <f>IFERROR(INDEX(Artikelstamm!$H:$H,$J42),"")</f>
        <v/>
      </c>
      <c r="H42" s="12">
        <f>IFERROR(INDEX(Artikelstamm!$A:$A,$J42),"")</f>
        <v/>
      </c>
      <c r="J42">
        <f>IFERROR(MATCH(ROW()-7,Artikelstamm!$L$5:$L$500,0)+4,"")</f>
        <v/>
      </c>
    </row>
    <row r="43">
      <c r="A43" s="16">
        <f>IFERROR(INDEX(Artikelstamm!$B:$B,$J43),"")</f>
        <v/>
      </c>
      <c r="B43" s="17">
        <f>IFERROR(INDEX(Artikelstamm!$D:$D,$J43),"")</f>
        <v/>
      </c>
      <c r="C43" s="15">
        <f>IFERROR(INDEX(Artikelstamm!$E:$E,$J43),"")</f>
        <v/>
      </c>
      <c r="D43" s="17">
        <f>IFERROR(INDEX(Artikelstamm!$F:$F,$J43),"")</f>
        <v/>
      </c>
      <c r="E43" s="17">
        <f>IFERROR(INDEX(Artikelstamm!$G:$G,$J43),"")</f>
        <v/>
      </c>
      <c r="F43" s="17">
        <f>IFERROR(INDEX(Artikelstamm!$C:$C,$J43),"")</f>
        <v/>
      </c>
      <c r="G43" s="17">
        <f>IFERROR(INDEX(Artikelstamm!$H:$H,$J43),"")</f>
        <v/>
      </c>
      <c r="H43" s="15">
        <f>IFERROR(INDEX(Artikelstamm!$A:$A,$J43),"")</f>
        <v/>
      </c>
      <c r="J43">
        <f>IFERROR(MATCH(ROW()-7,Artikelstamm!$L$5:$L$500,0)+4,"")</f>
        <v/>
      </c>
    </row>
    <row r="44">
      <c r="A44" s="13">
        <f>IFERROR(INDEX(Artikelstamm!$B:$B,$J44),"")</f>
        <v/>
      </c>
      <c r="B44" s="14">
        <f>IFERROR(INDEX(Artikelstamm!$D:$D,$J44),"")</f>
        <v/>
      </c>
      <c r="C44" s="12">
        <f>IFERROR(INDEX(Artikelstamm!$E:$E,$J44),"")</f>
        <v/>
      </c>
      <c r="D44" s="14">
        <f>IFERROR(INDEX(Artikelstamm!$F:$F,$J44),"")</f>
        <v/>
      </c>
      <c r="E44" s="14">
        <f>IFERROR(INDEX(Artikelstamm!$G:$G,$J44),"")</f>
        <v/>
      </c>
      <c r="F44" s="14">
        <f>IFERROR(INDEX(Artikelstamm!$C:$C,$J44),"")</f>
        <v/>
      </c>
      <c r="G44" s="14">
        <f>IFERROR(INDEX(Artikelstamm!$H:$H,$J44),"")</f>
        <v/>
      </c>
      <c r="H44" s="12">
        <f>IFERROR(INDEX(Artikelstamm!$A:$A,$J44),"")</f>
        <v/>
      </c>
      <c r="J44">
        <f>IFERROR(MATCH(ROW()-7,Artikelstamm!$L$5:$L$500,0)+4,"")</f>
        <v/>
      </c>
    </row>
    <row r="45">
      <c r="A45" s="16">
        <f>IFERROR(INDEX(Artikelstamm!$B:$B,$J45),"")</f>
        <v/>
      </c>
      <c r="B45" s="17">
        <f>IFERROR(INDEX(Artikelstamm!$D:$D,$J45),"")</f>
        <v/>
      </c>
      <c r="C45" s="15">
        <f>IFERROR(INDEX(Artikelstamm!$E:$E,$J45),"")</f>
        <v/>
      </c>
      <c r="D45" s="17">
        <f>IFERROR(INDEX(Artikelstamm!$F:$F,$J45),"")</f>
        <v/>
      </c>
      <c r="E45" s="17">
        <f>IFERROR(INDEX(Artikelstamm!$G:$G,$J45),"")</f>
        <v/>
      </c>
      <c r="F45" s="17">
        <f>IFERROR(INDEX(Artikelstamm!$C:$C,$J45),"")</f>
        <v/>
      </c>
      <c r="G45" s="17">
        <f>IFERROR(INDEX(Artikelstamm!$H:$H,$J45),"")</f>
        <v/>
      </c>
      <c r="H45" s="15">
        <f>IFERROR(INDEX(Artikelstamm!$A:$A,$J45),"")</f>
        <v/>
      </c>
      <c r="J45">
        <f>IFERROR(MATCH(ROW()-7,Artikelstamm!$L$5:$L$500,0)+4,"")</f>
        <v/>
      </c>
    </row>
    <row r="46">
      <c r="A46" s="13">
        <f>IFERROR(INDEX(Artikelstamm!$B:$B,$J46),"")</f>
        <v/>
      </c>
      <c r="B46" s="14">
        <f>IFERROR(INDEX(Artikelstamm!$D:$D,$J46),"")</f>
        <v/>
      </c>
      <c r="C46" s="12">
        <f>IFERROR(INDEX(Artikelstamm!$E:$E,$J46),"")</f>
        <v/>
      </c>
      <c r="D46" s="14">
        <f>IFERROR(INDEX(Artikelstamm!$F:$F,$J46),"")</f>
        <v/>
      </c>
      <c r="E46" s="14">
        <f>IFERROR(INDEX(Artikelstamm!$G:$G,$J46),"")</f>
        <v/>
      </c>
      <c r="F46" s="14">
        <f>IFERROR(INDEX(Artikelstamm!$C:$C,$J46),"")</f>
        <v/>
      </c>
      <c r="G46" s="14">
        <f>IFERROR(INDEX(Artikelstamm!$H:$H,$J46),"")</f>
        <v/>
      </c>
      <c r="H46" s="12">
        <f>IFERROR(INDEX(Artikelstamm!$A:$A,$J46),"")</f>
        <v/>
      </c>
      <c r="J46">
        <f>IFERROR(MATCH(ROW()-7,Artikelstamm!$L$5:$L$500,0)+4,"")</f>
        <v/>
      </c>
    </row>
    <row r="47">
      <c r="A47" s="16">
        <f>IFERROR(INDEX(Artikelstamm!$B:$B,$J47),"")</f>
        <v/>
      </c>
      <c r="B47" s="17">
        <f>IFERROR(INDEX(Artikelstamm!$D:$D,$J47),"")</f>
        <v/>
      </c>
      <c r="C47" s="15">
        <f>IFERROR(INDEX(Artikelstamm!$E:$E,$J47),"")</f>
        <v/>
      </c>
      <c r="D47" s="17">
        <f>IFERROR(INDEX(Artikelstamm!$F:$F,$J47),"")</f>
        <v/>
      </c>
      <c r="E47" s="17">
        <f>IFERROR(INDEX(Artikelstamm!$G:$G,$J47),"")</f>
        <v/>
      </c>
      <c r="F47" s="17">
        <f>IFERROR(INDEX(Artikelstamm!$C:$C,$J47),"")</f>
        <v/>
      </c>
      <c r="G47" s="17">
        <f>IFERROR(INDEX(Artikelstamm!$H:$H,$J47),"")</f>
        <v/>
      </c>
      <c r="H47" s="15">
        <f>IFERROR(INDEX(Artikelstamm!$A:$A,$J47),"")</f>
        <v/>
      </c>
      <c r="J47">
        <f>IFERROR(MATCH(ROW()-7,Artikelstamm!$L$5:$L$500,0)+4,"")</f>
        <v/>
      </c>
    </row>
  </sheetData>
  <mergeCells count="4">
    <mergeCell ref="A2:H2"/>
    <mergeCell ref="A6:H6"/>
    <mergeCell ref="B4:D4"/>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46" customWidth="1" min="3" max="3"/>
    <col width="30" customWidth="1" min="4" max="4"/>
    <col width="22" customWidth="1" min="5" max="5"/>
    <col width="12" customWidth="1" min="6" max="6"/>
    <col width="22" customWidth="1" min="7" max="7"/>
    <col width="28" customWidth="1" min="8" max="8"/>
    <col width="17" customWidth="1" min="9" max="9"/>
    <col width="26" customWidth="1" min="10" max="10"/>
  </cols>
  <sheetData>
    <row r="1" ht="30" customHeight="1">
      <c r="A1" s="1" t="inlineStr">
        <is>
          <t>Neue Artikel – Aufnahme in den Artikelstamm</t>
        </is>
      </c>
      <c r="B1" s="2" t="n"/>
      <c r="C1" s="2" t="n"/>
      <c r="D1" s="2" t="n"/>
      <c r="E1" s="2" t="n"/>
      <c r="F1" s="2" t="n"/>
      <c r="G1" s="2" t="n"/>
      <c r="H1" s="2" t="n"/>
      <c r="I1" s="2" t="n"/>
      <c r="J1" s="2" t="n"/>
    </row>
    <row r="2" ht="20" customHeight="1">
      <c r="A2" s="3" t="inlineStr">
        <is>
          <t>Vier Jahreszeiten Schluchsee</t>
        </is>
      </c>
      <c r="B2" s="4" t="n"/>
      <c r="C2" s="4" t="n"/>
      <c r="D2" s="4" t="n"/>
      <c r="E2" s="4" t="n"/>
      <c r="F2" s="4" t="n"/>
      <c r="G2" s="4" t="n"/>
      <c r="H2" s="4" t="n"/>
      <c r="I2" s="4" t="n"/>
      <c r="J2" s="4" t="n"/>
    </row>
    <row r="3" ht="18" customHeight="1">
      <c r="A3" s="10" t="inlineStr">
        <is>
          <t>Alles, was beim Zählen als „NEU“ markiert war, hier vollständig erfassen. Danach die Spalten B bis J markieren, kopieren und im Blatt „Artikelstamm“ unten anfügen – ab dann steht der Artikel überall zur Auswahl.</t>
        </is>
      </c>
    </row>
    <row r="4" ht="26" customHeight="1">
      <c r="A4" s="11" t="inlineStr">
        <is>
          <t>Gefunden in</t>
        </is>
      </c>
      <c r="B4" s="11" t="inlineStr">
        <is>
          <t>Art.-Nr.</t>
        </is>
      </c>
      <c r="C4" s="11" t="inlineStr">
        <is>
          <t>Artikel</t>
        </is>
      </c>
      <c r="D4" s="11" t="inlineStr">
        <is>
          <t>Warengruppe</t>
        </is>
      </c>
      <c r="E4" s="11" t="inlineStr">
        <is>
          <t>Gebinde / Größe</t>
        </is>
      </c>
      <c r="F4" s="11" t="inlineStr">
        <is>
          <t>Einheit</t>
        </is>
      </c>
      <c r="G4" s="11" t="inlineStr">
        <is>
          <t>Inhalt je Gebinde</t>
        </is>
      </c>
      <c r="H4" s="11" t="inlineStr">
        <is>
          <t>Lieferant</t>
        </is>
      </c>
      <c r="I4" s="11" t="inlineStr">
        <is>
          <t>Lagerort</t>
        </is>
      </c>
      <c r="J4" s="11" t="inlineStr">
        <is>
          <t>Bemerkung</t>
        </is>
      </c>
    </row>
    <row r="5">
      <c r="A5" s="19" t="n"/>
      <c r="B5" s="26" t="n"/>
      <c r="C5" s="19" t="n"/>
      <c r="D5" s="19" t="n"/>
      <c r="E5" s="19" t="n"/>
      <c r="F5" s="26" t="n"/>
      <c r="G5" s="19" t="n"/>
      <c r="H5" s="19" t="n"/>
      <c r="I5" s="19" t="n"/>
      <c r="J5" s="19" t="n"/>
    </row>
    <row r="6">
      <c r="A6" s="19" t="n"/>
      <c r="B6" s="26" t="n"/>
      <c r="C6" s="19" t="n"/>
      <c r="D6" s="19" t="n"/>
      <c r="E6" s="19" t="n"/>
      <c r="F6" s="26" t="n"/>
      <c r="G6" s="19" t="n"/>
      <c r="H6" s="19" t="n"/>
      <c r="I6" s="19" t="n"/>
      <c r="J6" s="19" t="n"/>
    </row>
    <row r="7">
      <c r="A7" s="19" t="n"/>
      <c r="B7" s="26" t="n"/>
      <c r="C7" s="19" t="n"/>
      <c r="D7" s="19" t="n"/>
      <c r="E7" s="19" t="n"/>
      <c r="F7" s="26" t="n"/>
      <c r="G7" s="19" t="n"/>
      <c r="H7" s="19" t="n"/>
      <c r="I7" s="19" t="n"/>
      <c r="J7" s="19" t="n"/>
    </row>
    <row r="8">
      <c r="A8" s="19" t="n"/>
      <c r="B8" s="26" t="n"/>
      <c r="C8" s="19" t="n"/>
      <c r="D8" s="19" t="n"/>
      <c r="E8" s="19" t="n"/>
      <c r="F8" s="26" t="n"/>
      <c r="G8" s="19" t="n"/>
      <c r="H8" s="19" t="n"/>
      <c r="I8" s="19" t="n"/>
      <c r="J8" s="19" t="n"/>
    </row>
    <row r="9">
      <c r="A9" s="19" t="n"/>
      <c r="B9" s="26" t="n"/>
      <c r="C9" s="19" t="n"/>
      <c r="D9" s="19" t="n"/>
      <c r="E9" s="19" t="n"/>
      <c r="F9" s="26" t="n"/>
      <c r="G9" s="19" t="n"/>
      <c r="H9" s="19" t="n"/>
      <c r="I9" s="19" t="n"/>
      <c r="J9" s="19" t="n"/>
    </row>
    <row r="10">
      <c r="A10" s="19" t="n"/>
      <c r="B10" s="26" t="n"/>
      <c r="C10" s="19" t="n"/>
      <c r="D10" s="19" t="n"/>
      <c r="E10" s="19" t="n"/>
      <c r="F10" s="26" t="n"/>
      <c r="G10" s="19" t="n"/>
      <c r="H10" s="19" t="n"/>
      <c r="I10" s="19" t="n"/>
      <c r="J10" s="19" t="n"/>
    </row>
    <row r="11">
      <c r="A11" s="19" t="n"/>
      <c r="B11" s="26" t="n"/>
      <c r="C11" s="19" t="n"/>
      <c r="D11" s="19" t="n"/>
      <c r="E11" s="19" t="n"/>
      <c r="F11" s="26" t="n"/>
      <c r="G11" s="19" t="n"/>
      <c r="H11" s="19" t="n"/>
      <c r="I11" s="19" t="n"/>
      <c r="J11" s="19" t="n"/>
    </row>
    <row r="12">
      <c r="A12" s="19" t="n"/>
      <c r="B12" s="26" t="n"/>
      <c r="C12" s="19" t="n"/>
      <c r="D12" s="19" t="n"/>
      <c r="E12" s="19" t="n"/>
      <c r="F12" s="26" t="n"/>
      <c r="G12" s="19" t="n"/>
      <c r="H12" s="19" t="n"/>
      <c r="I12" s="19" t="n"/>
      <c r="J12" s="19" t="n"/>
    </row>
    <row r="13">
      <c r="A13" s="19" t="n"/>
      <c r="B13" s="26" t="n"/>
      <c r="C13" s="19" t="n"/>
      <c r="D13" s="19" t="n"/>
      <c r="E13" s="19" t="n"/>
      <c r="F13" s="26" t="n"/>
      <c r="G13" s="19" t="n"/>
      <c r="H13" s="19" t="n"/>
      <c r="I13" s="19" t="n"/>
      <c r="J13" s="19" t="n"/>
    </row>
    <row r="14">
      <c r="A14" s="19" t="n"/>
      <c r="B14" s="26" t="n"/>
      <c r="C14" s="19" t="n"/>
      <c r="D14" s="19" t="n"/>
      <c r="E14" s="19" t="n"/>
      <c r="F14" s="26" t="n"/>
      <c r="G14" s="19" t="n"/>
      <c r="H14" s="19" t="n"/>
      <c r="I14" s="19" t="n"/>
      <c r="J14" s="19" t="n"/>
    </row>
    <row r="15">
      <c r="A15" s="19" t="n"/>
      <c r="B15" s="26" t="n"/>
      <c r="C15" s="19" t="n"/>
      <c r="D15" s="19" t="n"/>
      <c r="E15" s="19" t="n"/>
      <c r="F15" s="26" t="n"/>
      <c r="G15" s="19" t="n"/>
      <c r="H15" s="19" t="n"/>
      <c r="I15" s="19" t="n"/>
      <c r="J15" s="19" t="n"/>
    </row>
    <row r="16">
      <c r="A16" s="19" t="n"/>
      <c r="B16" s="26" t="n"/>
      <c r="C16" s="19" t="n"/>
      <c r="D16" s="19" t="n"/>
      <c r="E16" s="19" t="n"/>
      <c r="F16" s="26" t="n"/>
      <c r="G16" s="19" t="n"/>
      <c r="H16" s="19" t="n"/>
      <c r="I16" s="19" t="n"/>
      <c r="J16" s="19" t="n"/>
    </row>
    <row r="17">
      <c r="A17" s="19" t="n"/>
      <c r="B17" s="26" t="n"/>
      <c r="C17" s="19" t="n"/>
      <c r="D17" s="19" t="n"/>
      <c r="E17" s="19" t="n"/>
      <c r="F17" s="26" t="n"/>
      <c r="G17" s="19" t="n"/>
      <c r="H17" s="19" t="n"/>
      <c r="I17" s="19" t="n"/>
      <c r="J17" s="19" t="n"/>
    </row>
    <row r="18">
      <c r="A18" s="19" t="n"/>
      <c r="B18" s="26" t="n"/>
      <c r="C18" s="19" t="n"/>
      <c r="D18" s="19" t="n"/>
      <c r="E18" s="19" t="n"/>
      <c r="F18" s="26" t="n"/>
      <c r="G18" s="19" t="n"/>
      <c r="H18" s="19" t="n"/>
      <c r="I18" s="19" t="n"/>
      <c r="J18" s="19" t="n"/>
    </row>
    <row r="19">
      <c r="A19" s="19" t="n"/>
      <c r="B19" s="26" t="n"/>
      <c r="C19" s="19" t="n"/>
      <c r="D19" s="19" t="n"/>
      <c r="E19" s="19" t="n"/>
      <c r="F19" s="26" t="n"/>
      <c r="G19" s="19" t="n"/>
      <c r="H19" s="19" t="n"/>
      <c r="I19" s="19" t="n"/>
      <c r="J19" s="19" t="n"/>
    </row>
    <row r="20">
      <c r="A20" s="19" t="n"/>
      <c r="B20" s="26" t="n"/>
      <c r="C20" s="19" t="n"/>
      <c r="D20" s="19" t="n"/>
      <c r="E20" s="19" t="n"/>
      <c r="F20" s="26" t="n"/>
      <c r="G20" s="19" t="n"/>
      <c r="H20" s="19" t="n"/>
      <c r="I20" s="19" t="n"/>
      <c r="J20" s="19" t="n"/>
    </row>
    <row r="21">
      <c r="A21" s="19" t="n"/>
      <c r="B21" s="26" t="n"/>
      <c r="C21" s="19" t="n"/>
      <c r="D21" s="19" t="n"/>
      <c r="E21" s="19" t="n"/>
      <c r="F21" s="26" t="n"/>
      <c r="G21" s="19" t="n"/>
      <c r="H21" s="19" t="n"/>
      <c r="I21" s="19" t="n"/>
      <c r="J21" s="19" t="n"/>
    </row>
    <row r="22">
      <c r="A22" s="19" t="n"/>
      <c r="B22" s="26" t="n"/>
      <c r="C22" s="19" t="n"/>
      <c r="D22" s="19" t="n"/>
      <c r="E22" s="19" t="n"/>
      <c r="F22" s="26" t="n"/>
      <c r="G22" s="19" t="n"/>
      <c r="H22" s="19" t="n"/>
      <c r="I22" s="19" t="n"/>
      <c r="J22" s="19" t="n"/>
    </row>
    <row r="23">
      <c r="A23" s="19" t="n"/>
      <c r="B23" s="26" t="n"/>
      <c r="C23" s="19" t="n"/>
      <c r="D23" s="19" t="n"/>
      <c r="E23" s="19" t="n"/>
      <c r="F23" s="26" t="n"/>
      <c r="G23" s="19" t="n"/>
      <c r="H23" s="19" t="n"/>
      <c r="I23" s="19" t="n"/>
      <c r="J23" s="19" t="n"/>
    </row>
    <row r="24">
      <c r="A24" s="19" t="n"/>
      <c r="B24" s="26" t="n"/>
      <c r="C24" s="19" t="n"/>
      <c r="D24" s="19" t="n"/>
      <c r="E24" s="19" t="n"/>
      <c r="F24" s="26" t="n"/>
      <c r="G24" s="19" t="n"/>
      <c r="H24" s="19" t="n"/>
      <c r="I24" s="19" t="n"/>
      <c r="J24" s="19" t="n"/>
    </row>
    <row r="25">
      <c r="A25" s="19" t="n"/>
      <c r="B25" s="26" t="n"/>
      <c r="C25" s="19" t="n"/>
      <c r="D25" s="19" t="n"/>
      <c r="E25" s="19" t="n"/>
      <c r="F25" s="26" t="n"/>
      <c r="G25" s="19" t="n"/>
      <c r="H25" s="19" t="n"/>
      <c r="I25" s="19" t="n"/>
      <c r="J25" s="19" t="n"/>
    </row>
    <row r="26">
      <c r="A26" s="19" t="n"/>
      <c r="B26" s="26" t="n"/>
      <c r="C26" s="19" t="n"/>
      <c r="D26" s="19" t="n"/>
      <c r="E26" s="19" t="n"/>
      <c r="F26" s="26" t="n"/>
      <c r="G26" s="19" t="n"/>
      <c r="H26" s="19" t="n"/>
      <c r="I26" s="19" t="n"/>
      <c r="J26" s="19" t="n"/>
    </row>
    <row r="27">
      <c r="A27" s="19" t="n"/>
      <c r="B27" s="26" t="n"/>
      <c r="C27" s="19" t="n"/>
      <c r="D27" s="19" t="n"/>
      <c r="E27" s="19" t="n"/>
      <c r="F27" s="26" t="n"/>
      <c r="G27" s="19" t="n"/>
      <c r="H27" s="19" t="n"/>
      <c r="I27" s="19" t="n"/>
      <c r="J27" s="19" t="n"/>
    </row>
    <row r="28">
      <c r="A28" s="19" t="n"/>
      <c r="B28" s="26" t="n"/>
      <c r="C28" s="19" t="n"/>
      <c r="D28" s="19" t="n"/>
      <c r="E28" s="19" t="n"/>
      <c r="F28" s="26" t="n"/>
      <c r="G28" s="19" t="n"/>
      <c r="H28" s="19" t="n"/>
      <c r="I28" s="19" t="n"/>
      <c r="J28" s="19" t="n"/>
    </row>
    <row r="29">
      <c r="A29" s="19" t="n"/>
      <c r="B29" s="26" t="n"/>
      <c r="C29" s="19" t="n"/>
      <c r="D29" s="19" t="n"/>
      <c r="E29" s="19" t="n"/>
      <c r="F29" s="26" t="n"/>
      <c r="G29" s="19" t="n"/>
      <c r="H29" s="19" t="n"/>
      <c r="I29" s="19" t="n"/>
      <c r="J29" s="19" t="n"/>
    </row>
    <row r="30">
      <c r="A30" s="19" t="n"/>
      <c r="B30" s="26" t="n"/>
      <c r="C30" s="19" t="n"/>
      <c r="D30" s="19" t="n"/>
      <c r="E30" s="19" t="n"/>
      <c r="F30" s="26" t="n"/>
      <c r="G30" s="19" t="n"/>
      <c r="H30" s="19" t="n"/>
      <c r="I30" s="19" t="n"/>
      <c r="J30" s="19" t="n"/>
    </row>
    <row r="31">
      <c r="A31" s="19" t="n"/>
      <c r="B31" s="26" t="n"/>
      <c r="C31" s="19" t="n"/>
      <c r="D31" s="19" t="n"/>
      <c r="E31" s="19" t="n"/>
      <c r="F31" s="26" t="n"/>
      <c r="G31" s="19" t="n"/>
      <c r="H31" s="19" t="n"/>
      <c r="I31" s="19" t="n"/>
      <c r="J31" s="19" t="n"/>
    </row>
    <row r="32">
      <c r="A32" s="19" t="n"/>
      <c r="B32" s="26" t="n"/>
      <c r="C32" s="19" t="n"/>
      <c r="D32" s="19" t="n"/>
      <c r="E32" s="19" t="n"/>
      <c r="F32" s="26" t="n"/>
      <c r="G32" s="19" t="n"/>
      <c r="H32" s="19" t="n"/>
      <c r="I32" s="19" t="n"/>
      <c r="J32" s="19" t="n"/>
    </row>
    <row r="33">
      <c r="A33" s="19" t="n"/>
      <c r="B33" s="26" t="n"/>
      <c r="C33" s="19" t="n"/>
      <c r="D33" s="19" t="n"/>
      <c r="E33" s="19" t="n"/>
      <c r="F33" s="26" t="n"/>
      <c r="G33" s="19" t="n"/>
      <c r="H33" s="19" t="n"/>
      <c r="I33" s="19" t="n"/>
      <c r="J33" s="19" t="n"/>
    </row>
    <row r="34">
      <c r="A34" s="19" t="n"/>
      <c r="B34" s="26" t="n"/>
      <c r="C34" s="19" t="n"/>
      <c r="D34" s="19" t="n"/>
      <c r="E34" s="19" t="n"/>
      <c r="F34" s="26" t="n"/>
      <c r="G34" s="19" t="n"/>
      <c r="H34" s="19" t="n"/>
      <c r="I34" s="19" t="n"/>
      <c r="J34" s="19" t="n"/>
    </row>
    <row r="35">
      <c r="A35" s="19" t="n"/>
      <c r="B35" s="26" t="n"/>
      <c r="C35" s="19" t="n"/>
      <c r="D35" s="19" t="n"/>
      <c r="E35" s="19" t="n"/>
      <c r="F35" s="26" t="n"/>
      <c r="G35" s="19" t="n"/>
      <c r="H35" s="19" t="n"/>
      <c r="I35" s="19" t="n"/>
      <c r="J35" s="19" t="n"/>
    </row>
    <row r="36">
      <c r="A36" s="19" t="n"/>
      <c r="B36" s="26" t="n"/>
      <c r="C36" s="19" t="n"/>
      <c r="D36" s="19" t="n"/>
      <c r="E36" s="19" t="n"/>
      <c r="F36" s="26" t="n"/>
      <c r="G36" s="19" t="n"/>
      <c r="H36" s="19" t="n"/>
      <c r="I36" s="19" t="n"/>
      <c r="J36" s="19" t="n"/>
    </row>
    <row r="37">
      <c r="A37" s="19" t="n"/>
      <c r="B37" s="26" t="n"/>
      <c r="C37" s="19" t="n"/>
      <c r="D37" s="19" t="n"/>
      <c r="E37" s="19" t="n"/>
      <c r="F37" s="26" t="n"/>
      <c r="G37" s="19" t="n"/>
      <c r="H37" s="19" t="n"/>
      <c r="I37" s="19" t="n"/>
      <c r="J37" s="19" t="n"/>
    </row>
    <row r="38">
      <c r="A38" s="19" t="n"/>
      <c r="B38" s="26" t="n"/>
      <c r="C38" s="19" t="n"/>
      <c r="D38" s="19" t="n"/>
      <c r="E38" s="19" t="n"/>
      <c r="F38" s="26" t="n"/>
      <c r="G38" s="19" t="n"/>
      <c r="H38" s="19" t="n"/>
      <c r="I38" s="19" t="n"/>
      <c r="J38" s="19" t="n"/>
    </row>
    <row r="39">
      <c r="A39" s="19" t="n"/>
      <c r="B39" s="26" t="n"/>
      <c r="C39" s="19" t="n"/>
      <c r="D39" s="19" t="n"/>
      <c r="E39" s="19" t="n"/>
      <c r="F39" s="26" t="n"/>
      <c r="G39" s="19" t="n"/>
      <c r="H39" s="19" t="n"/>
      <c r="I39" s="19" t="n"/>
      <c r="J39" s="19" t="n"/>
    </row>
    <row r="40">
      <c r="A40" s="19" t="n"/>
      <c r="B40" s="26" t="n"/>
      <c r="C40" s="19" t="n"/>
      <c r="D40" s="19" t="n"/>
      <c r="E40" s="19" t="n"/>
      <c r="F40" s="26" t="n"/>
      <c r="G40" s="19" t="n"/>
      <c r="H40" s="19" t="n"/>
      <c r="I40" s="19" t="n"/>
      <c r="J40" s="19" t="n"/>
    </row>
    <row r="41">
      <c r="A41" s="19" t="n"/>
      <c r="B41" s="26" t="n"/>
      <c r="C41" s="19" t="n"/>
      <c r="D41" s="19" t="n"/>
      <c r="E41" s="19" t="n"/>
      <c r="F41" s="26" t="n"/>
      <c r="G41" s="19" t="n"/>
      <c r="H41" s="19" t="n"/>
      <c r="I41" s="19" t="n"/>
      <c r="J41" s="19" t="n"/>
    </row>
    <row r="42">
      <c r="A42" s="19" t="n"/>
      <c r="B42" s="26" t="n"/>
      <c r="C42" s="19" t="n"/>
      <c r="D42" s="19" t="n"/>
      <c r="E42" s="19" t="n"/>
      <c r="F42" s="26" t="n"/>
      <c r="G42" s="19" t="n"/>
      <c r="H42" s="19" t="n"/>
      <c r="I42" s="19" t="n"/>
      <c r="J42" s="19" t="n"/>
    </row>
    <row r="43">
      <c r="A43" s="19" t="n"/>
      <c r="B43" s="26" t="n"/>
      <c r="C43" s="19" t="n"/>
      <c r="D43" s="19" t="n"/>
      <c r="E43" s="19" t="n"/>
      <c r="F43" s="26" t="n"/>
      <c r="G43" s="19" t="n"/>
      <c r="H43" s="19" t="n"/>
      <c r="I43" s="19" t="n"/>
      <c r="J43" s="19" t="n"/>
    </row>
    <row r="44">
      <c r="A44" s="19" t="n"/>
      <c r="B44" s="26" t="n"/>
      <c r="C44" s="19" t="n"/>
      <c r="D44" s="19" t="n"/>
      <c r="E44" s="19" t="n"/>
      <c r="F44" s="26" t="n"/>
      <c r="G44" s="19" t="n"/>
      <c r="H44" s="19" t="n"/>
      <c r="I44" s="19" t="n"/>
      <c r="J44" s="19" t="n"/>
    </row>
    <row r="45">
      <c r="A45" s="19" t="n"/>
      <c r="B45" s="26" t="n"/>
      <c r="C45" s="19" t="n"/>
      <c r="D45" s="19" t="n"/>
      <c r="E45" s="19" t="n"/>
      <c r="F45" s="26" t="n"/>
      <c r="G45" s="19" t="n"/>
      <c r="H45" s="19" t="n"/>
      <c r="I45" s="19" t="n"/>
      <c r="J45" s="19" t="n"/>
    </row>
    <row r="46">
      <c r="A46" s="19" t="n"/>
      <c r="B46" s="26" t="n"/>
      <c r="C46" s="19" t="n"/>
      <c r="D46" s="19" t="n"/>
      <c r="E46" s="19" t="n"/>
      <c r="F46" s="26" t="n"/>
      <c r="G46" s="19" t="n"/>
      <c r="H46" s="19" t="n"/>
      <c r="I46" s="19" t="n"/>
      <c r="J46" s="19" t="n"/>
    </row>
    <row r="47">
      <c r="A47" s="19" t="n"/>
      <c r="B47" s="26" t="n"/>
      <c r="C47" s="19" t="n"/>
      <c r="D47" s="19" t="n"/>
      <c r="E47" s="19" t="n"/>
      <c r="F47" s="26" t="n"/>
      <c r="G47" s="19" t="n"/>
      <c r="H47" s="19" t="n"/>
      <c r="I47" s="19" t="n"/>
      <c r="J47" s="19" t="n"/>
    </row>
    <row r="48">
      <c r="A48" s="19" t="n"/>
      <c r="B48" s="26" t="n"/>
      <c r="C48" s="19" t="n"/>
      <c r="D48" s="19" t="n"/>
      <c r="E48" s="19" t="n"/>
      <c r="F48" s="26" t="n"/>
      <c r="G48" s="19" t="n"/>
      <c r="H48" s="19" t="n"/>
      <c r="I48" s="19" t="n"/>
      <c r="J48" s="19" t="n"/>
    </row>
    <row r="49">
      <c r="A49" s="19" t="n"/>
      <c r="B49" s="26" t="n"/>
      <c r="C49" s="19" t="n"/>
      <c r="D49" s="19" t="n"/>
      <c r="E49" s="19" t="n"/>
      <c r="F49" s="26" t="n"/>
      <c r="G49" s="19" t="n"/>
      <c r="H49" s="19" t="n"/>
      <c r="I49" s="19" t="n"/>
      <c r="J49" s="19" t="n"/>
    </row>
    <row r="50">
      <c r="A50" s="19" t="n"/>
      <c r="B50" s="26" t="n"/>
      <c r="C50" s="19" t="n"/>
      <c r="D50" s="19" t="n"/>
      <c r="E50" s="19" t="n"/>
      <c r="F50" s="26" t="n"/>
      <c r="G50" s="19" t="n"/>
      <c r="H50" s="19" t="n"/>
      <c r="I50" s="19" t="n"/>
      <c r="J50" s="19" t="n"/>
    </row>
    <row r="51">
      <c r="A51" s="19" t="n"/>
      <c r="B51" s="26" t="n"/>
      <c r="C51" s="19" t="n"/>
      <c r="D51" s="19" t="n"/>
      <c r="E51" s="19" t="n"/>
      <c r="F51" s="26" t="n"/>
      <c r="G51" s="19" t="n"/>
      <c r="H51" s="19" t="n"/>
      <c r="I51" s="19" t="n"/>
      <c r="J51" s="19" t="n"/>
    </row>
    <row r="52">
      <c r="A52" s="19" t="n"/>
      <c r="B52" s="26" t="n"/>
      <c r="C52" s="19" t="n"/>
      <c r="D52" s="19" t="n"/>
      <c r="E52" s="19" t="n"/>
      <c r="F52" s="26" t="n"/>
      <c r="G52" s="19" t="n"/>
      <c r="H52" s="19" t="n"/>
      <c r="I52" s="19" t="n"/>
      <c r="J52" s="19" t="n"/>
    </row>
    <row r="53">
      <c r="A53" s="19" t="n"/>
      <c r="B53" s="26" t="n"/>
      <c r="C53" s="19" t="n"/>
      <c r="D53" s="19" t="n"/>
      <c r="E53" s="19" t="n"/>
      <c r="F53" s="26" t="n"/>
      <c r="G53" s="19" t="n"/>
      <c r="H53" s="19" t="n"/>
      <c r="I53" s="19" t="n"/>
      <c r="J53" s="19" t="n"/>
    </row>
    <row r="54">
      <c r="A54" s="19" t="n"/>
      <c r="B54" s="26" t="n"/>
      <c r="C54" s="19" t="n"/>
      <c r="D54" s="19" t="n"/>
      <c r="E54" s="19" t="n"/>
      <c r="F54" s="26" t="n"/>
      <c r="G54" s="19" t="n"/>
      <c r="H54" s="19" t="n"/>
      <c r="I54" s="19" t="n"/>
      <c r="J54" s="19" t="n"/>
    </row>
    <row r="55">
      <c r="A55" s="19" t="n"/>
      <c r="B55" s="26" t="n"/>
      <c r="C55" s="19" t="n"/>
      <c r="D55" s="19" t="n"/>
      <c r="E55" s="19" t="n"/>
      <c r="F55" s="26" t="n"/>
      <c r="G55" s="19" t="n"/>
      <c r="H55" s="19" t="n"/>
      <c r="I55" s="19" t="n"/>
      <c r="J55" s="19" t="n"/>
    </row>
    <row r="56">
      <c r="A56" s="19" t="n"/>
      <c r="B56" s="26" t="n"/>
      <c r="C56" s="19" t="n"/>
      <c r="D56" s="19" t="n"/>
      <c r="E56" s="19" t="n"/>
      <c r="F56" s="26" t="n"/>
      <c r="G56" s="19" t="n"/>
      <c r="H56" s="19" t="n"/>
      <c r="I56" s="19" t="n"/>
      <c r="J56" s="19" t="n"/>
    </row>
    <row r="57">
      <c r="A57" s="19" t="n"/>
      <c r="B57" s="26" t="n"/>
      <c r="C57" s="19" t="n"/>
      <c r="D57" s="19" t="n"/>
      <c r="E57" s="19" t="n"/>
      <c r="F57" s="26" t="n"/>
      <c r="G57" s="19" t="n"/>
      <c r="H57" s="19" t="n"/>
      <c r="I57" s="19" t="n"/>
      <c r="J57" s="19" t="n"/>
    </row>
    <row r="58">
      <c r="A58" s="19" t="n"/>
      <c r="B58" s="26" t="n"/>
      <c r="C58" s="19" t="n"/>
      <c r="D58" s="19" t="n"/>
      <c r="E58" s="19" t="n"/>
      <c r="F58" s="26" t="n"/>
      <c r="G58" s="19" t="n"/>
      <c r="H58" s="19" t="n"/>
      <c r="I58" s="19" t="n"/>
      <c r="J58" s="19" t="n"/>
    </row>
    <row r="59">
      <c r="A59" s="19" t="n"/>
      <c r="B59" s="26" t="n"/>
      <c r="C59" s="19" t="n"/>
      <c r="D59" s="19" t="n"/>
      <c r="E59" s="19" t="n"/>
      <c r="F59" s="26" t="n"/>
      <c r="G59" s="19" t="n"/>
      <c r="H59" s="19" t="n"/>
      <c r="I59" s="19" t="n"/>
      <c r="J59" s="19" t="n"/>
    </row>
    <row r="60">
      <c r="A60" s="19" t="n"/>
      <c r="B60" s="26" t="n"/>
      <c r="C60" s="19" t="n"/>
      <c r="D60" s="19" t="n"/>
      <c r="E60" s="19" t="n"/>
      <c r="F60" s="26" t="n"/>
      <c r="G60" s="19" t="n"/>
      <c r="H60" s="19" t="n"/>
      <c r="I60" s="19" t="n"/>
      <c r="J60" s="19" t="n"/>
    </row>
    <row r="61">
      <c r="A61" s="19" t="n"/>
      <c r="B61" s="26" t="n"/>
      <c r="C61" s="19" t="n"/>
      <c r="D61" s="19" t="n"/>
      <c r="E61" s="19" t="n"/>
      <c r="F61" s="26" t="n"/>
      <c r="G61" s="19" t="n"/>
      <c r="H61" s="19" t="n"/>
      <c r="I61" s="19" t="n"/>
      <c r="J61" s="19" t="n"/>
    </row>
    <row r="62">
      <c r="A62" s="19" t="n"/>
      <c r="B62" s="26" t="n"/>
      <c r="C62" s="19" t="n"/>
      <c r="D62" s="19" t="n"/>
      <c r="E62" s="19" t="n"/>
      <c r="F62" s="26" t="n"/>
      <c r="G62" s="19" t="n"/>
      <c r="H62" s="19" t="n"/>
      <c r="I62" s="19" t="n"/>
      <c r="J62" s="19" t="n"/>
    </row>
    <row r="63">
      <c r="A63" s="19" t="n"/>
      <c r="B63" s="26" t="n"/>
      <c r="C63" s="19" t="n"/>
      <c r="D63" s="19" t="n"/>
      <c r="E63" s="19" t="n"/>
      <c r="F63" s="26" t="n"/>
      <c r="G63" s="19" t="n"/>
      <c r="H63" s="19" t="n"/>
      <c r="I63" s="19" t="n"/>
      <c r="J63" s="19" t="n"/>
    </row>
    <row r="64">
      <c r="A64" s="19" t="n"/>
      <c r="B64" s="26" t="n"/>
      <c r="C64" s="19" t="n"/>
      <c r="D64" s="19" t="n"/>
      <c r="E64" s="19" t="n"/>
      <c r="F64" s="26" t="n"/>
      <c r="G64" s="19" t="n"/>
      <c r="H64" s="19" t="n"/>
      <c r="I64" s="19" t="n"/>
      <c r="J64" s="19" t="n"/>
    </row>
  </sheetData>
  <mergeCells count="3">
    <mergeCell ref="A1:J1"/>
    <mergeCell ref="A3:J3"/>
    <mergeCell ref="A2:J2"/>
  </mergeCells>
  <dataValidations count="5">
    <dataValidation sqref="A5:A64" showDropDown="0" showInputMessage="0" showErrorMessage="0" allowBlank="1" type="list">
      <formula1>Zaehlstellen</formula1>
    </dataValidation>
    <dataValidation sqref="D5:D64" showDropDown="0" showInputMessage="0" showErrorMessage="0" allowBlank="1" type="list">
      <formula1>Warengruppen</formula1>
    </dataValidation>
    <dataValidation sqref="F5:F64" showDropDown="0" showInputMessage="0" showErrorMessage="0" allowBlank="1" type="list">
      <formula1>Einheiten</formula1>
    </dataValidation>
    <dataValidation sqref="H5:H64" showDropDown="0" showInputMessage="0" showErrorMessage="0" allowBlank="1" type="list">
      <formula1>Lieferanten</formula1>
    </dataValidation>
    <dataValidation sqref="I5:I64" showDropDown="0" showInputMessage="0" showErrorMessage="0" allowBlank="1" type="list">
      <formula1>Lagerorte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30" customWidth="1" min="3" max="3"/>
    <col width="12" customWidth="1" min="4" max="4"/>
    <col width="15" customWidth="1" min="5" max="5"/>
    <col width="13" customWidth="1" min="6" max="6"/>
    <col width="13" customWidth="1" min="7" max="7"/>
    <col width="13" customWidth="1" min="8" max="8"/>
    <col width="11" customWidth="1" min="9" max="9"/>
    <col width="11" customWidth="1" min="10" max="10"/>
    <col width="13" customWidth="1" min="11" max="11"/>
  </cols>
  <sheetData>
    <row r="1" ht="30" customHeight="1">
      <c r="A1" s="1" t="inlineStr">
        <is>
          <t>Auswertung – Gesamtbestand je Artikel</t>
        </is>
      </c>
      <c r="B1" s="2" t="n"/>
      <c r="C1" s="2" t="n"/>
      <c r="D1" s="2" t="n"/>
      <c r="E1" s="2" t="n"/>
      <c r="F1" s="2" t="n"/>
      <c r="G1" s="2" t="n"/>
      <c r="H1" s="2" t="n"/>
      <c r="I1" s="2" t="n"/>
      <c r="J1" s="2" t="n"/>
      <c r="K1" s="2" t="n"/>
    </row>
    <row r="2" ht="20" customHeight="1">
      <c r="A2" s="3" t="inlineStr">
        <is>
          <t>Vier Jahreszeiten Schluchsee</t>
        </is>
      </c>
      <c r="B2" s="4" t="n"/>
      <c r="C2" s="4" t="n"/>
      <c r="D2" s="4" t="n"/>
      <c r="E2" s="4" t="n"/>
      <c r="F2" s="4" t="n"/>
      <c r="G2" s="4" t="n"/>
      <c r="H2" s="4" t="n"/>
      <c r="I2" s="4" t="n"/>
      <c r="J2" s="4" t="n"/>
      <c r="K2" s="4" t="n"/>
    </row>
    <row r="3">
      <c r="A3" s="10" t="inlineStr">
        <is>
          <t>Summiert automatisch über alle sechs Zählblätter. Hier nichts eintragen.</t>
        </is>
      </c>
    </row>
    <row r="4" ht="26" customHeight="1">
      <c r="A4" s="11" t="inlineStr">
        <is>
          <t>Art.-Nr.</t>
        </is>
      </c>
      <c r="B4" s="11" t="inlineStr">
        <is>
          <t>Artikel</t>
        </is>
      </c>
      <c r="C4" s="11" t="inlineStr">
        <is>
          <t>Warengruppe</t>
        </is>
      </c>
      <c r="D4" s="11" t="inlineStr">
        <is>
          <t>Einheit</t>
        </is>
      </c>
      <c r="E4" s="11" t="inlineStr">
        <is>
          <t>Hauptmagazin</t>
        </is>
      </c>
      <c r="F4" s="11" t="inlineStr">
        <is>
          <t>Panorama</t>
        </is>
      </c>
      <c r="G4" s="11" t="inlineStr">
        <is>
          <t>Kachelofen</t>
        </is>
      </c>
      <c r="H4" s="11" t="inlineStr">
        <is>
          <t>Gugelhupf</t>
        </is>
      </c>
      <c r="I4" s="11" t="inlineStr">
        <is>
          <t>Lucia</t>
        </is>
      </c>
      <c r="J4" s="11" t="inlineStr">
        <is>
          <t>Bar</t>
        </is>
      </c>
      <c r="K4" s="11" t="inlineStr">
        <is>
          <t>Gesamt</t>
        </is>
      </c>
    </row>
    <row r="5">
      <c r="A5" s="12">
        <f>IF(Artikelstamm!$A5="","",Artikelstamm!$A5)</f>
        <v/>
      </c>
      <c r="B5" s="14">
        <f>IF(Artikelstamm!$B5="","",Artikelstamm!$B5)</f>
        <v/>
      </c>
      <c r="C5" s="14">
        <f>IF(Artikelstamm!$C5="","",Artikelstamm!$C5)</f>
        <v/>
      </c>
      <c r="D5" s="12">
        <f>IF(Artikelstamm!$E5="","",Artikelstamm!$E5)</f>
        <v/>
      </c>
      <c r="E5" s="27">
        <f>SUMIF('Hauptmagazin'!$A:$A,$B5,'Hauptmagazin'!$F:$F)</f>
        <v/>
      </c>
      <c r="F5" s="27">
        <f>SUMIF('Panorama'!$A:$A,$B5,'Panorama'!$F:$F)</f>
        <v/>
      </c>
      <c r="G5" s="27">
        <f>SUMIF('Kachelofen'!$A:$A,$B5,'Kachelofen'!$F:$F)</f>
        <v/>
      </c>
      <c r="H5" s="27">
        <f>SUMIF('Gugelhupf'!$A:$A,$B5,'Gugelhupf'!$F:$F)</f>
        <v/>
      </c>
      <c r="I5" s="27">
        <f>SUMIF('Lucia'!$A:$A,$B5,'Lucia'!$F:$F)</f>
        <v/>
      </c>
      <c r="J5" s="27">
        <f>SUMIF('Bar'!$A:$A,$B5,'Bar'!$F:$F)</f>
        <v/>
      </c>
      <c r="K5" s="28">
        <f>SUM(E5:J5)</f>
        <v/>
      </c>
    </row>
    <row r="6">
      <c r="A6" s="15">
        <f>IF(Artikelstamm!$A6="","",Artikelstamm!$A6)</f>
        <v/>
      </c>
      <c r="B6" s="17">
        <f>IF(Artikelstamm!$B6="","",Artikelstamm!$B6)</f>
        <v/>
      </c>
      <c r="C6" s="17">
        <f>IF(Artikelstamm!$C6="","",Artikelstamm!$C6)</f>
        <v/>
      </c>
      <c r="D6" s="15">
        <f>IF(Artikelstamm!$E6="","",Artikelstamm!$E6)</f>
        <v/>
      </c>
      <c r="E6" s="29">
        <f>SUMIF('Hauptmagazin'!$A:$A,$B6,'Hauptmagazin'!$F:$F)</f>
        <v/>
      </c>
      <c r="F6" s="29">
        <f>SUMIF('Panorama'!$A:$A,$B6,'Panorama'!$F:$F)</f>
        <v/>
      </c>
      <c r="G6" s="29">
        <f>SUMIF('Kachelofen'!$A:$A,$B6,'Kachelofen'!$F:$F)</f>
        <v/>
      </c>
      <c r="H6" s="29">
        <f>SUMIF('Gugelhupf'!$A:$A,$B6,'Gugelhupf'!$F:$F)</f>
        <v/>
      </c>
      <c r="I6" s="29">
        <f>SUMIF('Lucia'!$A:$A,$B6,'Lucia'!$F:$F)</f>
        <v/>
      </c>
      <c r="J6" s="29">
        <f>SUMIF('Bar'!$A:$A,$B6,'Bar'!$F:$F)</f>
        <v/>
      </c>
      <c r="K6" s="30">
        <f>SUM(E6:J6)</f>
        <v/>
      </c>
    </row>
    <row r="7">
      <c r="A7" s="12">
        <f>IF(Artikelstamm!$A7="","",Artikelstamm!$A7)</f>
        <v/>
      </c>
      <c r="B7" s="14">
        <f>IF(Artikelstamm!$B7="","",Artikelstamm!$B7)</f>
        <v/>
      </c>
      <c r="C7" s="14">
        <f>IF(Artikelstamm!$C7="","",Artikelstamm!$C7)</f>
        <v/>
      </c>
      <c r="D7" s="12">
        <f>IF(Artikelstamm!$E7="","",Artikelstamm!$E7)</f>
        <v/>
      </c>
      <c r="E7" s="27">
        <f>SUMIF('Hauptmagazin'!$A:$A,$B7,'Hauptmagazin'!$F:$F)</f>
        <v/>
      </c>
      <c r="F7" s="27">
        <f>SUMIF('Panorama'!$A:$A,$B7,'Panorama'!$F:$F)</f>
        <v/>
      </c>
      <c r="G7" s="27">
        <f>SUMIF('Kachelofen'!$A:$A,$B7,'Kachelofen'!$F:$F)</f>
        <v/>
      </c>
      <c r="H7" s="27">
        <f>SUMIF('Gugelhupf'!$A:$A,$B7,'Gugelhupf'!$F:$F)</f>
        <v/>
      </c>
      <c r="I7" s="27">
        <f>SUMIF('Lucia'!$A:$A,$B7,'Lucia'!$F:$F)</f>
        <v/>
      </c>
      <c r="J7" s="27">
        <f>SUMIF('Bar'!$A:$A,$B7,'Bar'!$F:$F)</f>
        <v/>
      </c>
      <c r="K7" s="28">
        <f>SUM(E7:J7)</f>
        <v/>
      </c>
    </row>
    <row r="8">
      <c r="A8" s="15">
        <f>IF(Artikelstamm!$A8="","",Artikelstamm!$A8)</f>
        <v/>
      </c>
      <c r="B8" s="17">
        <f>IF(Artikelstamm!$B8="","",Artikelstamm!$B8)</f>
        <v/>
      </c>
      <c r="C8" s="17">
        <f>IF(Artikelstamm!$C8="","",Artikelstamm!$C8)</f>
        <v/>
      </c>
      <c r="D8" s="15">
        <f>IF(Artikelstamm!$E8="","",Artikelstamm!$E8)</f>
        <v/>
      </c>
      <c r="E8" s="29">
        <f>SUMIF('Hauptmagazin'!$A:$A,$B8,'Hauptmagazin'!$F:$F)</f>
        <v/>
      </c>
      <c r="F8" s="29">
        <f>SUMIF('Panorama'!$A:$A,$B8,'Panorama'!$F:$F)</f>
        <v/>
      </c>
      <c r="G8" s="29">
        <f>SUMIF('Kachelofen'!$A:$A,$B8,'Kachelofen'!$F:$F)</f>
        <v/>
      </c>
      <c r="H8" s="29">
        <f>SUMIF('Gugelhupf'!$A:$A,$B8,'Gugelhupf'!$F:$F)</f>
        <v/>
      </c>
      <c r="I8" s="29">
        <f>SUMIF('Lucia'!$A:$A,$B8,'Lucia'!$F:$F)</f>
        <v/>
      </c>
      <c r="J8" s="29">
        <f>SUMIF('Bar'!$A:$A,$B8,'Bar'!$F:$F)</f>
        <v/>
      </c>
      <c r="K8" s="30">
        <f>SUM(E8:J8)</f>
        <v/>
      </c>
    </row>
    <row r="9">
      <c r="A9" s="12">
        <f>IF(Artikelstamm!$A9="","",Artikelstamm!$A9)</f>
        <v/>
      </c>
      <c r="B9" s="14">
        <f>IF(Artikelstamm!$B9="","",Artikelstamm!$B9)</f>
        <v/>
      </c>
      <c r="C9" s="14">
        <f>IF(Artikelstamm!$C9="","",Artikelstamm!$C9)</f>
        <v/>
      </c>
      <c r="D9" s="12">
        <f>IF(Artikelstamm!$E9="","",Artikelstamm!$E9)</f>
        <v/>
      </c>
      <c r="E9" s="27">
        <f>SUMIF('Hauptmagazin'!$A:$A,$B9,'Hauptmagazin'!$F:$F)</f>
        <v/>
      </c>
      <c r="F9" s="27">
        <f>SUMIF('Panorama'!$A:$A,$B9,'Panorama'!$F:$F)</f>
        <v/>
      </c>
      <c r="G9" s="27">
        <f>SUMIF('Kachelofen'!$A:$A,$B9,'Kachelofen'!$F:$F)</f>
        <v/>
      </c>
      <c r="H9" s="27">
        <f>SUMIF('Gugelhupf'!$A:$A,$B9,'Gugelhupf'!$F:$F)</f>
        <v/>
      </c>
      <c r="I9" s="27">
        <f>SUMIF('Lucia'!$A:$A,$B9,'Lucia'!$F:$F)</f>
        <v/>
      </c>
      <c r="J9" s="27">
        <f>SUMIF('Bar'!$A:$A,$B9,'Bar'!$F:$F)</f>
        <v/>
      </c>
      <c r="K9" s="28">
        <f>SUM(E9:J9)</f>
        <v/>
      </c>
    </row>
    <row r="10">
      <c r="A10" s="15">
        <f>IF(Artikelstamm!$A10="","",Artikelstamm!$A10)</f>
        <v/>
      </c>
      <c r="B10" s="17">
        <f>IF(Artikelstamm!$B10="","",Artikelstamm!$B10)</f>
        <v/>
      </c>
      <c r="C10" s="17">
        <f>IF(Artikelstamm!$C10="","",Artikelstamm!$C10)</f>
        <v/>
      </c>
      <c r="D10" s="15">
        <f>IF(Artikelstamm!$E10="","",Artikelstamm!$E10)</f>
        <v/>
      </c>
      <c r="E10" s="29">
        <f>SUMIF('Hauptmagazin'!$A:$A,$B10,'Hauptmagazin'!$F:$F)</f>
        <v/>
      </c>
      <c r="F10" s="29">
        <f>SUMIF('Panorama'!$A:$A,$B10,'Panorama'!$F:$F)</f>
        <v/>
      </c>
      <c r="G10" s="29">
        <f>SUMIF('Kachelofen'!$A:$A,$B10,'Kachelofen'!$F:$F)</f>
        <v/>
      </c>
      <c r="H10" s="29">
        <f>SUMIF('Gugelhupf'!$A:$A,$B10,'Gugelhupf'!$F:$F)</f>
        <v/>
      </c>
      <c r="I10" s="29">
        <f>SUMIF('Lucia'!$A:$A,$B10,'Lucia'!$F:$F)</f>
        <v/>
      </c>
      <c r="J10" s="29">
        <f>SUMIF('Bar'!$A:$A,$B10,'Bar'!$F:$F)</f>
        <v/>
      </c>
      <c r="K10" s="30">
        <f>SUM(E10:J10)</f>
        <v/>
      </c>
    </row>
    <row r="11">
      <c r="A11" s="12">
        <f>IF(Artikelstamm!$A11="","",Artikelstamm!$A11)</f>
        <v/>
      </c>
      <c r="B11" s="14">
        <f>IF(Artikelstamm!$B11="","",Artikelstamm!$B11)</f>
        <v/>
      </c>
      <c r="C11" s="14">
        <f>IF(Artikelstamm!$C11="","",Artikelstamm!$C11)</f>
        <v/>
      </c>
      <c r="D11" s="12">
        <f>IF(Artikelstamm!$E11="","",Artikelstamm!$E11)</f>
        <v/>
      </c>
      <c r="E11" s="27">
        <f>SUMIF('Hauptmagazin'!$A:$A,$B11,'Hauptmagazin'!$F:$F)</f>
        <v/>
      </c>
      <c r="F11" s="27">
        <f>SUMIF('Panorama'!$A:$A,$B11,'Panorama'!$F:$F)</f>
        <v/>
      </c>
      <c r="G11" s="27">
        <f>SUMIF('Kachelofen'!$A:$A,$B11,'Kachelofen'!$F:$F)</f>
        <v/>
      </c>
      <c r="H11" s="27">
        <f>SUMIF('Gugelhupf'!$A:$A,$B11,'Gugelhupf'!$F:$F)</f>
        <v/>
      </c>
      <c r="I11" s="27">
        <f>SUMIF('Lucia'!$A:$A,$B11,'Lucia'!$F:$F)</f>
        <v/>
      </c>
      <c r="J11" s="27">
        <f>SUMIF('Bar'!$A:$A,$B11,'Bar'!$F:$F)</f>
        <v/>
      </c>
      <c r="K11" s="28">
        <f>SUM(E11:J11)</f>
        <v/>
      </c>
    </row>
    <row r="12">
      <c r="A12" s="15">
        <f>IF(Artikelstamm!$A12="","",Artikelstamm!$A12)</f>
        <v/>
      </c>
      <c r="B12" s="17">
        <f>IF(Artikelstamm!$B12="","",Artikelstamm!$B12)</f>
        <v/>
      </c>
      <c r="C12" s="17">
        <f>IF(Artikelstamm!$C12="","",Artikelstamm!$C12)</f>
        <v/>
      </c>
      <c r="D12" s="15">
        <f>IF(Artikelstamm!$E12="","",Artikelstamm!$E12)</f>
        <v/>
      </c>
      <c r="E12" s="29">
        <f>SUMIF('Hauptmagazin'!$A:$A,$B12,'Hauptmagazin'!$F:$F)</f>
        <v/>
      </c>
      <c r="F12" s="29">
        <f>SUMIF('Panorama'!$A:$A,$B12,'Panorama'!$F:$F)</f>
        <v/>
      </c>
      <c r="G12" s="29">
        <f>SUMIF('Kachelofen'!$A:$A,$B12,'Kachelofen'!$F:$F)</f>
        <v/>
      </c>
      <c r="H12" s="29">
        <f>SUMIF('Gugelhupf'!$A:$A,$B12,'Gugelhupf'!$F:$F)</f>
        <v/>
      </c>
      <c r="I12" s="29">
        <f>SUMIF('Lucia'!$A:$A,$B12,'Lucia'!$F:$F)</f>
        <v/>
      </c>
      <c r="J12" s="29">
        <f>SUMIF('Bar'!$A:$A,$B12,'Bar'!$F:$F)</f>
        <v/>
      </c>
      <c r="K12" s="30">
        <f>SUM(E12:J12)</f>
        <v/>
      </c>
    </row>
    <row r="13">
      <c r="A13" s="12">
        <f>IF(Artikelstamm!$A13="","",Artikelstamm!$A13)</f>
        <v/>
      </c>
      <c r="B13" s="14">
        <f>IF(Artikelstamm!$B13="","",Artikelstamm!$B13)</f>
        <v/>
      </c>
      <c r="C13" s="14">
        <f>IF(Artikelstamm!$C13="","",Artikelstamm!$C13)</f>
        <v/>
      </c>
      <c r="D13" s="12">
        <f>IF(Artikelstamm!$E13="","",Artikelstamm!$E13)</f>
        <v/>
      </c>
      <c r="E13" s="27">
        <f>SUMIF('Hauptmagazin'!$A:$A,$B13,'Hauptmagazin'!$F:$F)</f>
        <v/>
      </c>
      <c r="F13" s="27">
        <f>SUMIF('Panorama'!$A:$A,$B13,'Panorama'!$F:$F)</f>
        <v/>
      </c>
      <c r="G13" s="27">
        <f>SUMIF('Kachelofen'!$A:$A,$B13,'Kachelofen'!$F:$F)</f>
        <v/>
      </c>
      <c r="H13" s="27">
        <f>SUMIF('Gugelhupf'!$A:$A,$B13,'Gugelhupf'!$F:$F)</f>
        <v/>
      </c>
      <c r="I13" s="27">
        <f>SUMIF('Lucia'!$A:$A,$B13,'Lucia'!$F:$F)</f>
        <v/>
      </c>
      <c r="J13" s="27">
        <f>SUMIF('Bar'!$A:$A,$B13,'Bar'!$F:$F)</f>
        <v/>
      </c>
      <c r="K13" s="28">
        <f>SUM(E13:J13)</f>
        <v/>
      </c>
    </row>
    <row r="14">
      <c r="A14" s="15">
        <f>IF(Artikelstamm!$A14="","",Artikelstamm!$A14)</f>
        <v/>
      </c>
      <c r="B14" s="17">
        <f>IF(Artikelstamm!$B14="","",Artikelstamm!$B14)</f>
        <v/>
      </c>
      <c r="C14" s="17">
        <f>IF(Artikelstamm!$C14="","",Artikelstamm!$C14)</f>
        <v/>
      </c>
      <c r="D14" s="15">
        <f>IF(Artikelstamm!$E14="","",Artikelstamm!$E14)</f>
        <v/>
      </c>
      <c r="E14" s="29">
        <f>SUMIF('Hauptmagazin'!$A:$A,$B14,'Hauptmagazin'!$F:$F)</f>
        <v/>
      </c>
      <c r="F14" s="29">
        <f>SUMIF('Panorama'!$A:$A,$B14,'Panorama'!$F:$F)</f>
        <v/>
      </c>
      <c r="G14" s="29">
        <f>SUMIF('Kachelofen'!$A:$A,$B14,'Kachelofen'!$F:$F)</f>
        <v/>
      </c>
      <c r="H14" s="29">
        <f>SUMIF('Gugelhupf'!$A:$A,$B14,'Gugelhupf'!$F:$F)</f>
        <v/>
      </c>
      <c r="I14" s="29">
        <f>SUMIF('Lucia'!$A:$A,$B14,'Lucia'!$F:$F)</f>
        <v/>
      </c>
      <c r="J14" s="29">
        <f>SUMIF('Bar'!$A:$A,$B14,'Bar'!$F:$F)</f>
        <v/>
      </c>
      <c r="K14" s="30">
        <f>SUM(E14:J14)</f>
        <v/>
      </c>
    </row>
    <row r="15">
      <c r="A15" s="12">
        <f>IF(Artikelstamm!$A15="","",Artikelstamm!$A15)</f>
        <v/>
      </c>
      <c r="B15" s="14">
        <f>IF(Artikelstamm!$B15="","",Artikelstamm!$B15)</f>
        <v/>
      </c>
      <c r="C15" s="14">
        <f>IF(Artikelstamm!$C15="","",Artikelstamm!$C15)</f>
        <v/>
      </c>
      <c r="D15" s="12">
        <f>IF(Artikelstamm!$E15="","",Artikelstamm!$E15)</f>
        <v/>
      </c>
      <c r="E15" s="27">
        <f>SUMIF('Hauptmagazin'!$A:$A,$B15,'Hauptmagazin'!$F:$F)</f>
        <v/>
      </c>
      <c r="F15" s="27">
        <f>SUMIF('Panorama'!$A:$A,$B15,'Panorama'!$F:$F)</f>
        <v/>
      </c>
      <c r="G15" s="27">
        <f>SUMIF('Kachelofen'!$A:$A,$B15,'Kachelofen'!$F:$F)</f>
        <v/>
      </c>
      <c r="H15" s="27">
        <f>SUMIF('Gugelhupf'!$A:$A,$B15,'Gugelhupf'!$F:$F)</f>
        <v/>
      </c>
      <c r="I15" s="27">
        <f>SUMIF('Lucia'!$A:$A,$B15,'Lucia'!$F:$F)</f>
        <v/>
      </c>
      <c r="J15" s="27">
        <f>SUMIF('Bar'!$A:$A,$B15,'Bar'!$F:$F)</f>
        <v/>
      </c>
      <c r="K15" s="28">
        <f>SUM(E15:J15)</f>
        <v/>
      </c>
    </row>
    <row r="16">
      <c r="A16" s="15">
        <f>IF(Artikelstamm!$A16="","",Artikelstamm!$A16)</f>
        <v/>
      </c>
      <c r="B16" s="17">
        <f>IF(Artikelstamm!$B16="","",Artikelstamm!$B16)</f>
        <v/>
      </c>
      <c r="C16" s="17">
        <f>IF(Artikelstamm!$C16="","",Artikelstamm!$C16)</f>
        <v/>
      </c>
      <c r="D16" s="15">
        <f>IF(Artikelstamm!$E16="","",Artikelstamm!$E16)</f>
        <v/>
      </c>
      <c r="E16" s="29">
        <f>SUMIF('Hauptmagazin'!$A:$A,$B16,'Hauptmagazin'!$F:$F)</f>
        <v/>
      </c>
      <c r="F16" s="29">
        <f>SUMIF('Panorama'!$A:$A,$B16,'Panorama'!$F:$F)</f>
        <v/>
      </c>
      <c r="G16" s="29">
        <f>SUMIF('Kachelofen'!$A:$A,$B16,'Kachelofen'!$F:$F)</f>
        <v/>
      </c>
      <c r="H16" s="29">
        <f>SUMIF('Gugelhupf'!$A:$A,$B16,'Gugelhupf'!$F:$F)</f>
        <v/>
      </c>
      <c r="I16" s="29">
        <f>SUMIF('Lucia'!$A:$A,$B16,'Lucia'!$F:$F)</f>
        <v/>
      </c>
      <c r="J16" s="29">
        <f>SUMIF('Bar'!$A:$A,$B16,'Bar'!$F:$F)</f>
        <v/>
      </c>
      <c r="K16" s="30">
        <f>SUM(E16:J16)</f>
        <v/>
      </c>
    </row>
    <row r="17">
      <c r="A17" s="12">
        <f>IF(Artikelstamm!$A17="","",Artikelstamm!$A17)</f>
        <v/>
      </c>
      <c r="B17" s="14">
        <f>IF(Artikelstamm!$B17="","",Artikelstamm!$B17)</f>
        <v/>
      </c>
      <c r="C17" s="14">
        <f>IF(Artikelstamm!$C17="","",Artikelstamm!$C17)</f>
        <v/>
      </c>
      <c r="D17" s="12">
        <f>IF(Artikelstamm!$E17="","",Artikelstamm!$E17)</f>
        <v/>
      </c>
      <c r="E17" s="27">
        <f>SUMIF('Hauptmagazin'!$A:$A,$B17,'Hauptmagazin'!$F:$F)</f>
        <v/>
      </c>
      <c r="F17" s="27">
        <f>SUMIF('Panorama'!$A:$A,$B17,'Panorama'!$F:$F)</f>
        <v/>
      </c>
      <c r="G17" s="27">
        <f>SUMIF('Kachelofen'!$A:$A,$B17,'Kachelofen'!$F:$F)</f>
        <v/>
      </c>
      <c r="H17" s="27">
        <f>SUMIF('Gugelhupf'!$A:$A,$B17,'Gugelhupf'!$F:$F)</f>
        <v/>
      </c>
      <c r="I17" s="27">
        <f>SUMIF('Lucia'!$A:$A,$B17,'Lucia'!$F:$F)</f>
        <v/>
      </c>
      <c r="J17" s="27">
        <f>SUMIF('Bar'!$A:$A,$B17,'Bar'!$F:$F)</f>
        <v/>
      </c>
      <c r="K17" s="28">
        <f>SUM(E17:J17)</f>
        <v/>
      </c>
    </row>
    <row r="18">
      <c r="A18" s="15">
        <f>IF(Artikelstamm!$A18="","",Artikelstamm!$A18)</f>
        <v/>
      </c>
      <c r="B18" s="17">
        <f>IF(Artikelstamm!$B18="","",Artikelstamm!$B18)</f>
        <v/>
      </c>
      <c r="C18" s="17">
        <f>IF(Artikelstamm!$C18="","",Artikelstamm!$C18)</f>
        <v/>
      </c>
      <c r="D18" s="15">
        <f>IF(Artikelstamm!$E18="","",Artikelstamm!$E18)</f>
        <v/>
      </c>
      <c r="E18" s="29">
        <f>SUMIF('Hauptmagazin'!$A:$A,$B18,'Hauptmagazin'!$F:$F)</f>
        <v/>
      </c>
      <c r="F18" s="29">
        <f>SUMIF('Panorama'!$A:$A,$B18,'Panorama'!$F:$F)</f>
        <v/>
      </c>
      <c r="G18" s="29">
        <f>SUMIF('Kachelofen'!$A:$A,$B18,'Kachelofen'!$F:$F)</f>
        <v/>
      </c>
      <c r="H18" s="29">
        <f>SUMIF('Gugelhupf'!$A:$A,$B18,'Gugelhupf'!$F:$F)</f>
        <v/>
      </c>
      <c r="I18" s="29">
        <f>SUMIF('Lucia'!$A:$A,$B18,'Lucia'!$F:$F)</f>
        <v/>
      </c>
      <c r="J18" s="29">
        <f>SUMIF('Bar'!$A:$A,$B18,'Bar'!$F:$F)</f>
        <v/>
      </c>
      <c r="K18" s="30">
        <f>SUM(E18:J18)</f>
        <v/>
      </c>
    </row>
    <row r="19">
      <c r="A19" s="12">
        <f>IF(Artikelstamm!$A19="","",Artikelstamm!$A19)</f>
        <v/>
      </c>
      <c r="B19" s="14">
        <f>IF(Artikelstamm!$B19="","",Artikelstamm!$B19)</f>
        <v/>
      </c>
      <c r="C19" s="14">
        <f>IF(Artikelstamm!$C19="","",Artikelstamm!$C19)</f>
        <v/>
      </c>
      <c r="D19" s="12">
        <f>IF(Artikelstamm!$E19="","",Artikelstamm!$E19)</f>
        <v/>
      </c>
      <c r="E19" s="27">
        <f>SUMIF('Hauptmagazin'!$A:$A,$B19,'Hauptmagazin'!$F:$F)</f>
        <v/>
      </c>
      <c r="F19" s="27">
        <f>SUMIF('Panorama'!$A:$A,$B19,'Panorama'!$F:$F)</f>
        <v/>
      </c>
      <c r="G19" s="27">
        <f>SUMIF('Kachelofen'!$A:$A,$B19,'Kachelofen'!$F:$F)</f>
        <v/>
      </c>
      <c r="H19" s="27">
        <f>SUMIF('Gugelhupf'!$A:$A,$B19,'Gugelhupf'!$F:$F)</f>
        <v/>
      </c>
      <c r="I19" s="27">
        <f>SUMIF('Lucia'!$A:$A,$B19,'Lucia'!$F:$F)</f>
        <v/>
      </c>
      <c r="J19" s="27">
        <f>SUMIF('Bar'!$A:$A,$B19,'Bar'!$F:$F)</f>
        <v/>
      </c>
      <c r="K19" s="28">
        <f>SUM(E19:J19)</f>
        <v/>
      </c>
    </row>
    <row r="20">
      <c r="A20" s="15">
        <f>IF(Artikelstamm!$A20="","",Artikelstamm!$A20)</f>
        <v/>
      </c>
      <c r="B20" s="17">
        <f>IF(Artikelstamm!$B20="","",Artikelstamm!$B20)</f>
        <v/>
      </c>
      <c r="C20" s="17">
        <f>IF(Artikelstamm!$C20="","",Artikelstamm!$C20)</f>
        <v/>
      </c>
      <c r="D20" s="15">
        <f>IF(Artikelstamm!$E20="","",Artikelstamm!$E20)</f>
        <v/>
      </c>
      <c r="E20" s="29">
        <f>SUMIF('Hauptmagazin'!$A:$A,$B20,'Hauptmagazin'!$F:$F)</f>
        <v/>
      </c>
      <c r="F20" s="29">
        <f>SUMIF('Panorama'!$A:$A,$B20,'Panorama'!$F:$F)</f>
        <v/>
      </c>
      <c r="G20" s="29">
        <f>SUMIF('Kachelofen'!$A:$A,$B20,'Kachelofen'!$F:$F)</f>
        <v/>
      </c>
      <c r="H20" s="29">
        <f>SUMIF('Gugelhupf'!$A:$A,$B20,'Gugelhupf'!$F:$F)</f>
        <v/>
      </c>
      <c r="I20" s="29">
        <f>SUMIF('Lucia'!$A:$A,$B20,'Lucia'!$F:$F)</f>
        <v/>
      </c>
      <c r="J20" s="29">
        <f>SUMIF('Bar'!$A:$A,$B20,'Bar'!$F:$F)</f>
        <v/>
      </c>
      <c r="K20" s="30">
        <f>SUM(E20:J20)</f>
        <v/>
      </c>
    </row>
    <row r="21">
      <c r="A21" s="12">
        <f>IF(Artikelstamm!$A21="","",Artikelstamm!$A21)</f>
        <v/>
      </c>
      <c r="B21" s="14">
        <f>IF(Artikelstamm!$B21="","",Artikelstamm!$B21)</f>
        <v/>
      </c>
      <c r="C21" s="14">
        <f>IF(Artikelstamm!$C21="","",Artikelstamm!$C21)</f>
        <v/>
      </c>
      <c r="D21" s="12">
        <f>IF(Artikelstamm!$E21="","",Artikelstamm!$E21)</f>
        <v/>
      </c>
      <c r="E21" s="27">
        <f>SUMIF('Hauptmagazin'!$A:$A,$B21,'Hauptmagazin'!$F:$F)</f>
        <v/>
      </c>
      <c r="F21" s="27">
        <f>SUMIF('Panorama'!$A:$A,$B21,'Panorama'!$F:$F)</f>
        <v/>
      </c>
      <c r="G21" s="27">
        <f>SUMIF('Kachelofen'!$A:$A,$B21,'Kachelofen'!$F:$F)</f>
        <v/>
      </c>
      <c r="H21" s="27">
        <f>SUMIF('Gugelhupf'!$A:$A,$B21,'Gugelhupf'!$F:$F)</f>
        <v/>
      </c>
      <c r="I21" s="27">
        <f>SUMIF('Lucia'!$A:$A,$B21,'Lucia'!$F:$F)</f>
        <v/>
      </c>
      <c r="J21" s="27">
        <f>SUMIF('Bar'!$A:$A,$B21,'Bar'!$F:$F)</f>
        <v/>
      </c>
      <c r="K21" s="28">
        <f>SUM(E21:J21)</f>
        <v/>
      </c>
    </row>
    <row r="22">
      <c r="A22" s="15">
        <f>IF(Artikelstamm!$A22="","",Artikelstamm!$A22)</f>
        <v/>
      </c>
      <c r="B22" s="17">
        <f>IF(Artikelstamm!$B22="","",Artikelstamm!$B22)</f>
        <v/>
      </c>
      <c r="C22" s="17">
        <f>IF(Artikelstamm!$C22="","",Artikelstamm!$C22)</f>
        <v/>
      </c>
      <c r="D22" s="15">
        <f>IF(Artikelstamm!$E22="","",Artikelstamm!$E22)</f>
        <v/>
      </c>
      <c r="E22" s="29">
        <f>SUMIF('Hauptmagazin'!$A:$A,$B22,'Hauptmagazin'!$F:$F)</f>
        <v/>
      </c>
      <c r="F22" s="29">
        <f>SUMIF('Panorama'!$A:$A,$B22,'Panorama'!$F:$F)</f>
        <v/>
      </c>
      <c r="G22" s="29">
        <f>SUMIF('Kachelofen'!$A:$A,$B22,'Kachelofen'!$F:$F)</f>
        <v/>
      </c>
      <c r="H22" s="29">
        <f>SUMIF('Gugelhupf'!$A:$A,$B22,'Gugelhupf'!$F:$F)</f>
        <v/>
      </c>
      <c r="I22" s="29">
        <f>SUMIF('Lucia'!$A:$A,$B22,'Lucia'!$F:$F)</f>
        <v/>
      </c>
      <c r="J22" s="29">
        <f>SUMIF('Bar'!$A:$A,$B22,'Bar'!$F:$F)</f>
        <v/>
      </c>
      <c r="K22" s="30">
        <f>SUM(E22:J22)</f>
        <v/>
      </c>
    </row>
    <row r="23">
      <c r="A23" s="12">
        <f>IF(Artikelstamm!$A23="","",Artikelstamm!$A23)</f>
        <v/>
      </c>
      <c r="B23" s="14">
        <f>IF(Artikelstamm!$B23="","",Artikelstamm!$B23)</f>
        <v/>
      </c>
      <c r="C23" s="14">
        <f>IF(Artikelstamm!$C23="","",Artikelstamm!$C23)</f>
        <v/>
      </c>
      <c r="D23" s="12">
        <f>IF(Artikelstamm!$E23="","",Artikelstamm!$E23)</f>
        <v/>
      </c>
      <c r="E23" s="27">
        <f>SUMIF('Hauptmagazin'!$A:$A,$B23,'Hauptmagazin'!$F:$F)</f>
        <v/>
      </c>
      <c r="F23" s="27">
        <f>SUMIF('Panorama'!$A:$A,$B23,'Panorama'!$F:$F)</f>
        <v/>
      </c>
      <c r="G23" s="27">
        <f>SUMIF('Kachelofen'!$A:$A,$B23,'Kachelofen'!$F:$F)</f>
        <v/>
      </c>
      <c r="H23" s="27">
        <f>SUMIF('Gugelhupf'!$A:$A,$B23,'Gugelhupf'!$F:$F)</f>
        <v/>
      </c>
      <c r="I23" s="27">
        <f>SUMIF('Lucia'!$A:$A,$B23,'Lucia'!$F:$F)</f>
        <v/>
      </c>
      <c r="J23" s="27">
        <f>SUMIF('Bar'!$A:$A,$B23,'Bar'!$F:$F)</f>
        <v/>
      </c>
      <c r="K23" s="28">
        <f>SUM(E23:J23)</f>
        <v/>
      </c>
    </row>
    <row r="24">
      <c r="A24" s="15">
        <f>IF(Artikelstamm!$A24="","",Artikelstamm!$A24)</f>
        <v/>
      </c>
      <c r="B24" s="17">
        <f>IF(Artikelstamm!$B24="","",Artikelstamm!$B24)</f>
        <v/>
      </c>
      <c r="C24" s="17">
        <f>IF(Artikelstamm!$C24="","",Artikelstamm!$C24)</f>
        <v/>
      </c>
      <c r="D24" s="15">
        <f>IF(Artikelstamm!$E24="","",Artikelstamm!$E24)</f>
        <v/>
      </c>
      <c r="E24" s="29">
        <f>SUMIF('Hauptmagazin'!$A:$A,$B24,'Hauptmagazin'!$F:$F)</f>
        <v/>
      </c>
      <c r="F24" s="29">
        <f>SUMIF('Panorama'!$A:$A,$B24,'Panorama'!$F:$F)</f>
        <v/>
      </c>
      <c r="G24" s="29">
        <f>SUMIF('Kachelofen'!$A:$A,$B24,'Kachelofen'!$F:$F)</f>
        <v/>
      </c>
      <c r="H24" s="29">
        <f>SUMIF('Gugelhupf'!$A:$A,$B24,'Gugelhupf'!$F:$F)</f>
        <v/>
      </c>
      <c r="I24" s="29">
        <f>SUMIF('Lucia'!$A:$A,$B24,'Lucia'!$F:$F)</f>
        <v/>
      </c>
      <c r="J24" s="29">
        <f>SUMIF('Bar'!$A:$A,$B24,'Bar'!$F:$F)</f>
        <v/>
      </c>
      <c r="K24" s="30">
        <f>SUM(E24:J24)</f>
        <v/>
      </c>
    </row>
    <row r="25">
      <c r="A25" s="12">
        <f>IF(Artikelstamm!$A25="","",Artikelstamm!$A25)</f>
        <v/>
      </c>
      <c r="B25" s="14">
        <f>IF(Artikelstamm!$B25="","",Artikelstamm!$B25)</f>
        <v/>
      </c>
      <c r="C25" s="14">
        <f>IF(Artikelstamm!$C25="","",Artikelstamm!$C25)</f>
        <v/>
      </c>
      <c r="D25" s="12">
        <f>IF(Artikelstamm!$E25="","",Artikelstamm!$E25)</f>
        <v/>
      </c>
      <c r="E25" s="27">
        <f>SUMIF('Hauptmagazin'!$A:$A,$B25,'Hauptmagazin'!$F:$F)</f>
        <v/>
      </c>
      <c r="F25" s="27">
        <f>SUMIF('Panorama'!$A:$A,$B25,'Panorama'!$F:$F)</f>
        <v/>
      </c>
      <c r="G25" s="27">
        <f>SUMIF('Kachelofen'!$A:$A,$B25,'Kachelofen'!$F:$F)</f>
        <v/>
      </c>
      <c r="H25" s="27">
        <f>SUMIF('Gugelhupf'!$A:$A,$B25,'Gugelhupf'!$F:$F)</f>
        <v/>
      </c>
      <c r="I25" s="27">
        <f>SUMIF('Lucia'!$A:$A,$B25,'Lucia'!$F:$F)</f>
        <v/>
      </c>
      <c r="J25" s="27">
        <f>SUMIF('Bar'!$A:$A,$B25,'Bar'!$F:$F)</f>
        <v/>
      </c>
      <c r="K25" s="28">
        <f>SUM(E25:J25)</f>
        <v/>
      </c>
    </row>
    <row r="26">
      <c r="A26" s="15">
        <f>IF(Artikelstamm!$A26="","",Artikelstamm!$A26)</f>
        <v/>
      </c>
      <c r="B26" s="17">
        <f>IF(Artikelstamm!$B26="","",Artikelstamm!$B26)</f>
        <v/>
      </c>
      <c r="C26" s="17">
        <f>IF(Artikelstamm!$C26="","",Artikelstamm!$C26)</f>
        <v/>
      </c>
      <c r="D26" s="15">
        <f>IF(Artikelstamm!$E26="","",Artikelstamm!$E26)</f>
        <v/>
      </c>
      <c r="E26" s="29">
        <f>SUMIF('Hauptmagazin'!$A:$A,$B26,'Hauptmagazin'!$F:$F)</f>
        <v/>
      </c>
      <c r="F26" s="29">
        <f>SUMIF('Panorama'!$A:$A,$B26,'Panorama'!$F:$F)</f>
        <v/>
      </c>
      <c r="G26" s="29">
        <f>SUMIF('Kachelofen'!$A:$A,$B26,'Kachelofen'!$F:$F)</f>
        <v/>
      </c>
      <c r="H26" s="29">
        <f>SUMIF('Gugelhupf'!$A:$A,$B26,'Gugelhupf'!$F:$F)</f>
        <v/>
      </c>
      <c r="I26" s="29">
        <f>SUMIF('Lucia'!$A:$A,$B26,'Lucia'!$F:$F)</f>
        <v/>
      </c>
      <c r="J26" s="29">
        <f>SUMIF('Bar'!$A:$A,$B26,'Bar'!$F:$F)</f>
        <v/>
      </c>
      <c r="K26" s="30">
        <f>SUM(E26:J26)</f>
        <v/>
      </c>
    </row>
    <row r="27">
      <c r="A27" s="12">
        <f>IF(Artikelstamm!$A27="","",Artikelstamm!$A27)</f>
        <v/>
      </c>
      <c r="B27" s="14">
        <f>IF(Artikelstamm!$B27="","",Artikelstamm!$B27)</f>
        <v/>
      </c>
      <c r="C27" s="14">
        <f>IF(Artikelstamm!$C27="","",Artikelstamm!$C27)</f>
        <v/>
      </c>
      <c r="D27" s="12">
        <f>IF(Artikelstamm!$E27="","",Artikelstamm!$E27)</f>
        <v/>
      </c>
      <c r="E27" s="27">
        <f>SUMIF('Hauptmagazin'!$A:$A,$B27,'Hauptmagazin'!$F:$F)</f>
        <v/>
      </c>
      <c r="F27" s="27">
        <f>SUMIF('Panorama'!$A:$A,$B27,'Panorama'!$F:$F)</f>
        <v/>
      </c>
      <c r="G27" s="27">
        <f>SUMIF('Kachelofen'!$A:$A,$B27,'Kachelofen'!$F:$F)</f>
        <v/>
      </c>
      <c r="H27" s="27">
        <f>SUMIF('Gugelhupf'!$A:$A,$B27,'Gugelhupf'!$F:$F)</f>
        <v/>
      </c>
      <c r="I27" s="27">
        <f>SUMIF('Lucia'!$A:$A,$B27,'Lucia'!$F:$F)</f>
        <v/>
      </c>
      <c r="J27" s="27">
        <f>SUMIF('Bar'!$A:$A,$B27,'Bar'!$F:$F)</f>
        <v/>
      </c>
      <c r="K27" s="28">
        <f>SUM(E27:J27)</f>
        <v/>
      </c>
    </row>
    <row r="28">
      <c r="A28" s="15">
        <f>IF(Artikelstamm!$A28="","",Artikelstamm!$A28)</f>
        <v/>
      </c>
      <c r="B28" s="17">
        <f>IF(Artikelstamm!$B28="","",Artikelstamm!$B28)</f>
        <v/>
      </c>
      <c r="C28" s="17">
        <f>IF(Artikelstamm!$C28="","",Artikelstamm!$C28)</f>
        <v/>
      </c>
      <c r="D28" s="15">
        <f>IF(Artikelstamm!$E28="","",Artikelstamm!$E28)</f>
        <v/>
      </c>
      <c r="E28" s="29">
        <f>SUMIF('Hauptmagazin'!$A:$A,$B28,'Hauptmagazin'!$F:$F)</f>
        <v/>
      </c>
      <c r="F28" s="29">
        <f>SUMIF('Panorama'!$A:$A,$B28,'Panorama'!$F:$F)</f>
        <v/>
      </c>
      <c r="G28" s="29">
        <f>SUMIF('Kachelofen'!$A:$A,$B28,'Kachelofen'!$F:$F)</f>
        <v/>
      </c>
      <c r="H28" s="29">
        <f>SUMIF('Gugelhupf'!$A:$A,$B28,'Gugelhupf'!$F:$F)</f>
        <v/>
      </c>
      <c r="I28" s="29">
        <f>SUMIF('Lucia'!$A:$A,$B28,'Lucia'!$F:$F)</f>
        <v/>
      </c>
      <c r="J28" s="29">
        <f>SUMIF('Bar'!$A:$A,$B28,'Bar'!$F:$F)</f>
        <v/>
      </c>
      <c r="K28" s="30">
        <f>SUM(E28:J28)</f>
        <v/>
      </c>
    </row>
    <row r="29">
      <c r="A29" s="12">
        <f>IF(Artikelstamm!$A29="","",Artikelstamm!$A29)</f>
        <v/>
      </c>
      <c r="B29" s="14">
        <f>IF(Artikelstamm!$B29="","",Artikelstamm!$B29)</f>
        <v/>
      </c>
      <c r="C29" s="14">
        <f>IF(Artikelstamm!$C29="","",Artikelstamm!$C29)</f>
        <v/>
      </c>
      <c r="D29" s="12">
        <f>IF(Artikelstamm!$E29="","",Artikelstamm!$E29)</f>
        <v/>
      </c>
      <c r="E29" s="27">
        <f>SUMIF('Hauptmagazin'!$A:$A,$B29,'Hauptmagazin'!$F:$F)</f>
        <v/>
      </c>
      <c r="F29" s="27">
        <f>SUMIF('Panorama'!$A:$A,$B29,'Panorama'!$F:$F)</f>
        <v/>
      </c>
      <c r="G29" s="27">
        <f>SUMIF('Kachelofen'!$A:$A,$B29,'Kachelofen'!$F:$F)</f>
        <v/>
      </c>
      <c r="H29" s="27">
        <f>SUMIF('Gugelhupf'!$A:$A,$B29,'Gugelhupf'!$F:$F)</f>
        <v/>
      </c>
      <c r="I29" s="27">
        <f>SUMIF('Lucia'!$A:$A,$B29,'Lucia'!$F:$F)</f>
        <v/>
      </c>
      <c r="J29" s="27">
        <f>SUMIF('Bar'!$A:$A,$B29,'Bar'!$F:$F)</f>
        <v/>
      </c>
      <c r="K29" s="28">
        <f>SUM(E29:J29)</f>
        <v/>
      </c>
    </row>
    <row r="30">
      <c r="A30" s="15">
        <f>IF(Artikelstamm!$A30="","",Artikelstamm!$A30)</f>
        <v/>
      </c>
      <c r="B30" s="17">
        <f>IF(Artikelstamm!$B30="","",Artikelstamm!$B30)</f>
        <v/>
      </c>
      <c r="C30" s="17">
        <f>IF(Artikelstamm!$C30="","",Artikelstamm!$C30)</f>
        <v/>
      </c>
      <c r="D30" s="15">
        <f>IF(Artikelstamm!$E30="","",Artikelstamm!$E30)</f>
        <v/>
      </c>
      <c r="E30" s="29">
        <f>SUMIF('Hauptmagazin'!$A:$A,$B30,'Hauptmagazin'!$F:$F)</f>
        <v/>
      </c>
      <c r="F30" s="29">
        <f>SUMIF('Panorama'!$A:$A,$B30,'Panorama'!$F:$F)</f>
        <v/>
      </c>
      <c r="G30" s="29">
        <f>SUMIF('Kachelofen'!$A:$A,$B30,'Kachelofen'!$F:$F)</f>
        <v/>
      </c>
      <c r="H30" s="29">
        <f>SUMIF('Gugelhupf'!$A:$A,$B30,'Gugelhupf'!$F:$F)</f>
        <v/>
      </c>
      <c r="I30" s="29">
        <f>SUMIF('Lucia'!$A:$A,$B30,'Lucia'!$F:$F)</f>
        <v/>
      </c>
      <c r="J30" s="29">
        <f>SUMIF('Bar'!$A:$A,$B30,'Bar'!$F:$F)</f>
        <v/>
      </c>
      <c r="K30" s="30">
        <f>SUM(E30:J30)</f>
        <v/>
      </c>
    </row>
    <row r="31">
      <c r="A31" s="12">
        <f>IF(Artikelstamm!$A31="","",Artikelstamm!$A31)</f>
        <v/>
      </c>
      <c r="B31" s="14">
        <f>IF(Artikelstamm!$B31="","",Artikelstamm!$B31)</f>
        <v/>
      </c>
      <c r="C31" s="14">
        <f>IF(Artikelstamm!$C31="","",Artikelstamm!$C31)</f>
        <v/>
      </c>
      <c r="D31" s="12">
        <f>IF(Artikelstamm!$E31="","",Artikelstamm!$E31)</f>
        <v/>
      </c>
      <c r="E31" s="27">
        <f>SUMIF('Hauptmagazin'!$A:$A,$B31,'Hauptmagazin'!$F:$F)</f>
        <v/>
      </c>
      <c r="F31" s="27">
        <f>SUMIF('Panorama'!$A:$A,$B31,'Panorama'!$F:$F)</f>
        <v/>
      </c>
      <c r="G31" s="27">
        <f>SUMIF('Kachelofen'!$A:$A,$B31,'Kachelofen'!$F:$F)</f>
        <v/>
      </c>
      <c r="H31" s="27">
        <f>SUMIF('Gugelhupf'!$A:$A,$B31,'Gugelhupf'!$F:$F)</f>
        <v/>
      </c>
      <c r="I31" s="27">
        <f>SUMIF('Lucia'!$A:$A,$B31,'Lucia'!$F:$F)</f>
        <v/>
      </c>
      <c r="J31" s="27">
        <f>SUMIF('Bar'!$A:$A,$B31,'Bar'!$F:$F)</f>
        <v/>
      </c>
      <c r="K31" s="28">
        <f>SUM(E31:J31)</f>
        <v/>
      </c>
    </row>
    <row r="32">
      <c r="A32" s="15">
        <f>IF(Artikelstamm!$A32="","",Artikelstamm!$A32)</f>
        <v/>
      </c>
      <c r="B32" s="17">
        <f>IF(Artikelstamm!$B32="","",Artikelstamm!$B32)</f>
        <v/>
      </c>
      <c r="C32" s="17">
        <f>IF(Artikelstamm!$C32="","",Artikelstamm!$C32)</f>
        <v/>
      </c>
      <c r="D32" s="15">
        <f>IF(Artikelstamm!$E32="","",Artikelstamm!$E32)</f>
        <v/>
      </c>
      <c r="E32" s="29">
        <f>SUMIF('Hauptmagazin'!$A:$A,$B32,'Hauptmagazin'!$F:$F)</f>
        <v/>
      </c>
      <c r="F32" s="29">
        <f>SUMIF('Panorama'!$A:$A,$B32,'Panorama'!$F:$F)</f>
        <v/>
      </c>
      <c r="G32" s="29">
        <f>SUMIF('Kachelofen'!$A:$A,$B32,'Kachelofen'!$F:$F)</f>
        <v/>
      </c>
      <c r="H32" s="29">
        <f>SUMIF('Gugelhupf'!$A:$A,$B32,'Gugelhupf'!$F:$F)</f>
        <v/>
      </c>
      <c r="I32" s="29">
        <f>SUMIF('Lucia'!$A:$A,$B32,'Lucia'!$F:$F)</f>
        <v/>
      </c>
      <c r="J32" s="29">
        <f>SUMIF('Bar'!$A:$A,$B32,'Bar'!$F:$F)</f>
        <v/>
      </c>
      <c r="K32" s="30">
        <f>SUM(E32:J32)</f>
        <v/>
      </c>
    </row>
    <row r="33">
      <c r="A33" s="12">
        <f>IF(Artikelstamm!$A33="","",Artikelstamm!$A33)</f>
        <v/>
      </c>
      <c r="B33" s="14">
        <f>IF(Artikelstamm!$B33="","",Artikelstamm!$B33)</f>
        <v/>
      </c>
      <c r="C33" s="14">
        <f>IF(Artikelstamm!$C33="","",Artikelstamm!$C33)</f>
        <v/>
      </c>
      <c r="D33" s="12">
        <f>IF(Artikelstamm!$E33="","",Artikelstamm!$E33)</f>
        <v/>
      </c>
      <c r="E33" s="27">
        <f>SUMIF('Hauptmagazin'!$A:$A,$B33,'Hauptmagazin'!$F:$F)</f>
        <v/>
      </c>
      <c r="F33" s="27">
        <f>SUMIF('Panorama'!$A:$A,$B33,'Panorama'!$F:$F)</f>
        <v/>
      </c>
      <c r="G33" s="27">
        <f>SUMIF('Kachelofen'!$A:$A,$B33,'Kachelofen'!$F:$F)</f>
        <v/>
      </c>
      <c r="H33" s="27">
        <f>SUMIF('Gugelhupf'!$A:$A,$B33,'Gugelhupf'!$F:$F)</f>
        <v/>
      </c>
      <c r="I33" s="27">
        <f>SUMIF('Lucia'!$A:$A,$B33,'Lucia'!$F:$F)</f>
        <v/>
      </c>
      <c r="J33" s="27">
        <f>SUMIF('Bar'!$A:$A,$B33,'Bar'!$F:$F)</f>
        <v/>
      </c>
      <c r="K33" s="28">
        <f>SUM(E33:J33)</f>
        <v/>
      </c>
    </row>
    <row r="34">
      <c r="A34" s="15">
        <f>IF(Artikelstamm!$A34="","",Artikelstamm!$A34)</f>
        <v/>
      </c>
      <c r="B34" s="17">
        <f>IF(Artikelstamm!$B34="","",Artikelstamm!$B34)</f>
        <v/>
      </c>
      <c r="C34" s="17">
        <f>IF(Artikelstamm!$C34="","",Artikelstamm!$C34)</f>
        <v/>
      </c>
      <c r="D34" s="15">
        <f>IF(Artikelstamm!$E34="","",Artikelstamm!$E34)</f>
        <v/>
      </c>
      <c r="E34" s="29">
        <f>SUMIF('Hauptmagazin'!$A:$A,$B34,'Hauptmagazin'!$F:$F)</f>
        <v/>
      </c>
      <c r="F34" s="29">
        <f>SUMIF('Panorama'!$A:$A,$B34,'Panorama'!$F:$F)</f>
        <v/>
      </c>
      <c r="G34" s="29">
        <f>SUMIF('Kachelofen'!$A:$A,$B34,'Kachelofen'!$F:$F)</f>
        <v/>
      </c>
      <c r="H34" s="29">
        <f>SUMIF('Gugelhupf'!$A:$A,$B34,'Gugelhupf'!$F:$F)</f>
        <v/>
      </c>
      <c r="I34" s="29">
        <f>SUMIF('Lucia'!$A:$A,$B34,'Lucia'!$F:$F)</f>
        <v/>
      </c>
      <c r="J34" s="29">
        <f>SUMIF('Bar'!$A:$A,$B34,'Bar'!$F:$F)</f>
        <v/>
      </c>
      <c r="K34" s="30">
        <f>SUM(E34:J34)</f>
        <v/>
      </c>
    </row>
    <row r="35">
      <c r="A35" s="12">
        <f>IF(Artikelstamm!$A35="","",Artikelstamm!$A35)</f>
        <v/>
      </c>
      <c r="B35" s="14">
        <f>IF(Artikelstamm!$B35="","",Artikelstamm!$B35)</f>
        <v/>
      </c>
      <c r="C35" s="14">
        <f>IF(Artikelstamm!$C35="","",Artikelstamm!$C35)</f>
        <v/>
      </c>
      <c r="D35" s="12">
        <f>IF(Artikelstamm!$E35="","",Artikelstamm!$E35)</f>
        <v/>
      </c>
      <c r="E35" s="27">
        <f>SUMIF('Hauptmagazin'!$A:$A,$B35,'Hauptmagazin'!$F:$F)</f>
        <v/>
      </c>
      <c r="F35" s="27">
        <f>SUMIF('Panorama'!$A:$A,$B35,'Panorama'!$F:$F)</f>
        <v/>
      </c>
      <c r="G35" s="27">
        <f>SUMIF('Kachelofen'!$A:$A,$B35,'Kachelofen'!$F:$F)</f>
        <v/>
      </c>
      <c r="H35" s="27">
        <f>SUMIF('Gugelhupf'!$A:$A,$B35,'Gugelhupf'!$F:$F)</f>
        <v/>
      </c>
      <c r="I35" s="27">
        <f>SUMIF('Lucia'!$A:$A,$B35,'Lucia'!$F:$F)</f>
        <v/>
      </c>
      <c r="J35" s="27">
        <f>SUMIF('Bar'!$A:$A,$B35,'Bar'!$F:$F)</f>
        <v/>
      </c>
      <c r="K35" s="28">
        <f>SUM(E35:J35)</f>
        <v/>
      </c>
    </row>
    <row r="36">
      <c r="A36" s="15">
        <f>IF(Artikelstamm!$A36="","",Artikelstamm!$A36)</f>
        <v/>
      </c>
      <c r="B36" s="17">
        <f>IF(Artikelstamm!$B36="","",Artikelstamm!$B36)</f>
        <v/>
      </c>
      <c r="C36" s="17">
        <f>IF(Artikelstamm!$C36="","",Artikelstamm!$C36)</f>
        <v/>
      </c>
      <c r="D36" s="15">
        <f>IF(Artikelstamm!$E36="","",Artikelstamm!$E36)</f>
        <v/>
      </c>
      <c r="E36" s="29">
        <f>SUMIF('Hauptmagazin'!$A:$A,$B36,'Hauptmagazin'!$F:$F)</f>
        <v/>
      </c>
      <c r="F36" s="29">
        <f>SUMIF('Panorama'!$A:$A,$B36,'Panorama'!$F:$F)</f>
        <v/>
      </c>
      <c r="G36" s="29">
        <f>SUMIF('Kachelofen'!$A:$A,$B36,'Kachelofen'!$F:$F)</f>
        <v/>
      </c>
      <c r="H36" s="29">
        <f>SUMIF('Gugelhupf'!$A:$A,$B36,'Gugelhupf'!$F:$F)</f>
        <v/>
      </c>
      <c r="I36" s="29">
        <f>SUMIF('Lucia'!$A:$A,$B36,'Lucia'!$F:$F)</f>
        <v/>
      </c>
      <c r="J36" s="29">
        <f>SUMIF('Bar'!$A:$A,$B36,'Bar'!$F:$F)</f>
        <v/>
      </c>
      <c r="K36" s="30">
        <f>SUM(E36:J36)</f>
        <v/>
      </c>
    </row>
    <row r="37">
      <c r="A37" s="12">
        <f>IF(Artikelstamm!$A37="","",Artikelstamm!$A37)</f>
        <v/>
      </c>
      <c r="B37" s="14">
        <f>IF(Artikelstamm!$B37="","",Artikelstamm!$B37)</f>
        <v/>
      </c>
      <c r="C37" s="14">
        <f>IF(Artikelstamm!$C37="","",Artikelstamm!$C37)</f>
        <v/>
      </c>
      <c r="D37" s="12">
        <f>IF(Artikelstamm!$E37="","",Artikelstamm!$E37)</f>
        <v/>
      </c>
      <c r="E37" s="27">
        <f>SUMIF('Hauptmagazin'!$A:$A,$B37,'Hauptmagazin'!$F:$F)</f>
        <v/>
      </c>
      <c r="F37" s="27">
        <f>SUMIF('Panorama'!$A:$A,$B37,'Panorama'!$F:$F)</f>
        <v/>
      </c>
      <c r="G37" s="27">
        <f>SUMIF('Kachelofen'!$A:$A,$B37,'Kachelofen'!$F:$F)</f>
        <v/>
      </c>
      <c r="H37" s="27">
        <f>SUMIF('Gugelhupf'!$A:$A,$B37,'Gugelhupf'!$F:$F)</f>
        <v/>
      </c>
      <c r="I37" s="27">
        <f>SUMIF('Lucia'!$A:$A,$B37,'Lucia'!$F:$F)</f>
        <v/>
      </c>
      <c r="J37" s="27">
        <f>SUMIF('Bar'!$A:$A,$B37,'Bar'!$F:$F)</f>
        <v/>
      </c>
      <c r="K37" s="28">
        <f>SUM(E37:J37)</f>
        <v/>
      </c>
    </row>
    <row r="38">
      <c r="A38" s="15">
        <f>IF(Artikelstamm!$A38="","",Artikelstamm!$A38)</f>
        <v/>
      </c>
      <c r="B38" s="17">
        <f>IF(Artikelstamm!$B38="","",Artikelstamm!$B38)</f>
        <v/>
      </c>
      <c r="C38" s="17">
        <f>IF(Artikelstamm!$C38="","",Artikelstamm!$C38)</f>
        <v/>
      </c>
      <c r="D38" s="15">
        <f>IF(Artikelstamm!$E38="","",Artikelstamm!$E38)</f>
        <v/>
      </c>
      <c r="E38" s="29">
        <f>SUMIF('Hauptmagazin'!$A:$A,$B38,'Hauptmagazin'!$F:$F)</f>
        <v/>
      </c>
      <c r="F38" s="29">
        <f>SUMIF('Panorama'!$A:$A,$B38,'Panorama'!$F:$F)</f>
        <v/>
      </c>
      <c r="G38" s="29">
        <f>SUMIF('Kachelofen'!$A:$A,$B38,'Kachelofen'!$F:$F)</f>
        <v/>
      </c>
      <c r="H38" s="29">
        <f>SUMIF('Gugelhupf'!$A:$A,$B38,'Gugelhupf'!$F:$F)</f>
        <v/>
      </c>
      <c r="I38" s="29">
        <f>SUMIF('Lucia'!$A:$A,$B38,'Lucia'!$F:$F)</f>
        <v/>
      </c>
      <c r="J38" s="29">
        <f>SUMIF('Bar'!$A:$A,$B38,'Bar'!$F:$F)</f>
        <v/>
      </c>
      <c r="K38" s="30">
        <f>SUM(E38:J38)</f>
        <v/>
      </c>
    </row>
    <row r="39">
      <c r="A39" s="12">
        <f>IF(Artikelstamm!$A39="","",Artikelstamm!$A39)</f>
        <v/>
      </c>
      <c r="B39" s="14">
        <f>IF(Artikelstamm!$B39="","",Artikelstamm!$B39)</f>
        <v/>
      </c>
      <c r="C39" s="14">
        <f>IF(Artikelstamm!$C39="","",Artikelstamm!$C39)</f>
        <v/>
      </c>
      <c r="D39" s="12">
        <f>IF(Artikelstamm!$E39="","",Artikelstamm!$E39)</f>
        <v/>
      </c>
      <c r="E39" s="27">
        <f>SUMIF('Hauptmagazin'!$A:$A,$B39,'Hauptmagazin'!$F:$F)</f>
        <v/>
      </c>
      <c r="F39" s="27">
        <f>SUMIF('Panorama'!$A:$A,$B39,'Panorama'!$F:$F)</f>
        <v/>
      </c>
      <c r="G39" s="27">
        <f>SUMIF('Kachelofen'!$A:$A,$B39,'Kachelofen'!$F:$F)</f>
        <v/>
      </c>
      <c r="H39" s="27">
        <f>SUMIF('Gugelhupf'!$A:$A,$B39,'Gugelhupf'!$F:$F)</f>
        <v/>
      </c>
      <c r="I39" s="27">
        <f>SUMIF('Lucia'!$A:$A,$B39,'Lucia'!$F:$F)</f>
        <v/>
      </c>
      <c r="J39" s="27">
        <f>SUMIF('Bar'!$A:$A,$B39,'Bar'!$F:$F)</f>
        <v/>
      </c>
      <c r="K39" s="28">
        <f>SUM(E39:J39)</f>
        <v/>
      </c>
    </row>
    <row r="40">
      <c r="A40" s="15">
        <f>IF(Artikelstamm!$A40="","",Artikelstamm!$A40)</f>
        <v/>
      </c>
      <c r="B40" s="17">
        <f>IF(Artikelstamm!$B40="","",Artikelstamm!$B40)</f>
        <v/>
      </c>
      <c r="C40" s="17">
        <f>IF(Artikelstamm!$C40="","",Artikelstamm!$C40)</f>
        <v/>
      </c>
      <c r="D40" s="15">
        <f>IF(Artikelstamm!$E40="","",Artikelstamm!$E40)</f>
        <v/>
      </c>
      <c r="E40" s="29">
        <f>SUMIF('Hauptmagazin'!$A:$A,$B40,'Hauptmagazin'!$F:$F)</f>
        <v/>
      </c>
      <c r="F40" s="29">
        <f>SUMIF('Panorama'!$A:$A,$B40,'Panorama'!$F:$F)</f>
        <v/>
      </c>
      <c r="G40" s="29">
        <f>SUMIF('Kachelofen'!$A:$A,$B40,'Kachelofen'!$F:$F)</f>
        <v/>
      </c>
      <c r="H40" s="29">
        <f>SUMIF('Gugelhupf'!$A:$A,$B40,'Gugelhupf'!$F:$F)</f>
        <v/>
      </c>
      <c r="I40" s="29">
        <f>SUMIF('Lucia'!$A:$A,$B40,'Lucia'!$F:$F)</f>
        <v/>
      </c>
      <c r="J40" s="29">
        <f>SUMIF('Bar'!$A:$A,$B40,'Bar'!$F:$F)</f>
        <v/>
      </c>
      <c r="K40" s="30">
        <f>SUM(E40:J40)</f>
        <v/>
      </c>
    </row>
    <row r="41">
      <c r="A41" s="12">
        <f>IF(Artikelstamm!$A41="","",Artikelstamm!$A41)</f>
        <v/>
      </c>
      <c r="B41" s="14">
        <f>IF(Artikelstamm!$B41="","",Artikelstamm!$B41)</f>
        <v/>
      </c>
      <c r="C41" s="14">
        <f>IF(Artikelstamm!$C41="","",Artikelstamm!$C41)</f>
        <v/>
      </c>
      <c r="D41" s="12">
        <f>IF(Artikelstamm!$E41="","",Artikelstamm!$E41)</f>
        <v/>
      </c>
      <c r="E41" s="27">
        <f>SUMIF('Hauptmagazin'!$A:$A,$B41,'Hauptmagazin'!$F:$F)</f>
        <v/>
      </c>
      <c r="F41" s="27">
        <f>SUMIF('Panorama'!$A:$A,$B41,'Panorama'!$F:$F)</f>
        <v/>
      </c>
      <c r="G41" s="27">
        <f>SUMIF('Kachelofen'!$A:$A,$B41,'Kachelofen'!$F:$F)</f>
        <v/>
      </c>
      <c r="H41" s="27">
        <f>SUMIF('Gugelhupf'!$A:$A,$B41,'Gugelhupf'!$F:$F)</f>
        <v/>
      </c>
      <c r="I41" s="27">
        <f>SUMIF('Lucia'!$A:$A,$B41,'Lucia'!$F:$F)</f>
        <v/>
      </c>
      <c r="J41" s="27">
        <f>SUMIF('Bar'!$A:$A,$B41,'Bar'!$F:$F)</f>
        <v/>
      </c>
      <c r="K41" s="28">
        <f>SUM(E41:J41)</f>
        <v/>
      </c>
    </row>
    <row r="42">
      <c r="A42" s="15">
        <f>IF(Artikelstamm!$A42="","",Artikelstamm!$A42)</f>
        <v/>
      </c>
      <c r="B42" s="17">
        <f>IF(Artikelstamm!$B42="","",Artikelstamm!$B42)</f>
        <v/>
      </c>
      <c r="C42" s="17">
        <f>IF(Artikelstamm!$C42="","",Artikelstamm!$C42)</f>
        <v/>
      </c>
      <c r="D42" s="15">
        <f>IF(Artikelstamm!$E42="","",Artikelstamm!$E42)</f>
        <v/>
      </c>
      <c r="E42" s="29">
        <f>SUMIF('Hauptmagazin'!$A:$A,$B42,'Hauptmagazin'!$F:$F)</f>
        <v/>
      </c>
      <c r="F42" s="29">
        <f>SUMIF('Panorama'!$A:$A,$B42,'Panorama'!$F:$F)</f>
        <v/>
      </c>
      <c r="G42" s="29">
        <f>SUMIF('Kachelofen'!$A:$A,$B42,'Kachelofen'!$F:$F)</f>
        <v/>
      </c>
      <c r="H42" s="29">
        <f>SUMIF('Gugelhupf'!$A:$A,$B42,'Gugelhupf'!$F:$F)</f>
        <v/>
      </c>
      <c r="I42" s="29">
        <f>SUMIF('Lucia'!$A:$A,$B42,'Lucia'!$F:$F)</f>
        <v/>
      </c>
      <c r="J42" s="29">
        <f>SUMIF('Bar'!$A:$A,$B42,'Bar'!$F:$F)</f>
        <v/>
      </c>
      <c r="K42" s="30">
        <f>SUM(E42:J42)</f>
        <v/>
      </c>
    </row>
    <row r="43">
      <c r="A43" s="12">
        <f>IF(Artikelstamm!$A43="","",Artikelstamm!$A43)</f>
        <v/>
      </c>
      <c r="B43" s="14">
        <f>IF(Artikelstamm!$B43="","",Artikelstamm!$B43)</f>
        <v/>
      </c>
      <c r="C43" s="14">
        <f>IF(Artikelstamm!$C43="","",Artikelstamm!$C43)</f>
        <v/>
      </c>
      <c r="D43" s="12">
        <f>IF(Artikelstamm!$E43="","",Artikelstamm!$E43)</f>
        <v/>
      </c>
      <c r="E43" s="27">
        <f>SUMIF('Hauptmagazin'!$A:$A,$B43,'Hauptmagazin'!$F:$F)</f>
        <v/>
      </c>
      <c r="F43" s="27">
        <f>SUMIF('Panorama'!$A:$A,$B43,'Panorama'!$F:$F)</f>
        <v/>
      </c>
      <c r="G43" s="27">
        <f>SUMIF('Kachelofen'!$A:$A,$B43,'Kachelofen'!$F:$F)</f>
        <v/>
      </c>
      <c r="H43" s="27">
        <f>SUMIF('Gugelhupf'!$A:$A,$B43,'Gugelhupf'!$F:$F)</f>
        <v/>
      </c>
      <c r="I43" s="27">
        <f>SUMIF('Lucia'!$A:$A,$B43,'Lucia'!$F:$F)</f>
        <v/>
      </c>
      <c r="J43" s="27">
        <f>SUMIF('Bar'!$A:$A,$B43,'Bar'!$F:$F)</f>
        <v/>
      </c>
      <c r="K43" s="28">
        <f>SUM(E43:J43)</f>
        <v/>
      </c>
    </row>
    <row r="44">
      <c r="A44" s="15">
        <f>IF(Artikelstamm!$A44="","",Artikelstamm!$A44)</f>
        <v/>
      </c>
      <c r="B44" s="17">
        <f>IF(Artikelstamm!$B44="","",Artikelstamm!$B44)</f>
        <v/>
      </c>
      <c r="C44" s="17">
        <f>IF(Artikelstamm!$C44="","",Artikelstamm!$C44)</f>
        <v/>
      </c>
      <c r="D44" s="15">
        <f>IF(Artikelstamm!$E44="","",Artikelstamm!$E44)</f>
        <v/>
      </c>
      <c r="E44" s="29">
        <f>SUMIF('Hauptmagazin'!$A:$A,$B44,'Hauptmagazin'!$F:$F)</f>
        <v/>
      </c>
      <c r="F44" s="29">
        <f>SUMIF('Panorama'!$A:$A,$B44,'Panorama'!$F:$F)</f>
        <v/>
      </c>
      <c r="G44" s="29">
        <f>SUMIF('Kachelofen'!$A:$A,$B44,'Kachelofen'!$F:$F)</f>
        <v/>
      </c>
      <c r="H44" s="29">
        <f>SUMIF('Gugelhupf'!$A:$A,$B44,'Gugelhupf'!$F:$F)</f>
        <v/>
      </c>
      <c r="I44" s="29">
        <f>SUMIF('Lucia'!$A:$A,$B44,'Lucia'!$F:$F)</f>
        <v/>
      </c>
      <c r="J44" s="29">
        <f>SUMIF('Bar'!$A:$A,$B44,'Bar'!$F:$F)</f>
        <v/>
      </c>
      <c r="K44" s="30">
        <f>SUM(E44:J44)</f>
        <v/>
      </c>
    </row>
    <row r="45">
      <c r="A45" s="12">
        <f>IF(Artikelstamm!$A45="","",Artikelstamm!$A45)</f>
        <v/>
      </c>
      <c r="B45" s="14">
        <f>IF(Artikelstamm!$B45="","",Artikelstamm!$B45)</f>
        <v/>
      </c>
      <c r="C45" s="14">
        <f>IF(Artikelstamm!$C45="","",Artikelstamm!$C45)</f>
        <v/>
      </c>
      <c r="D45" s="12">
        <f>IF(Artikelstamm!$E45="","",Artikelstamm!$E45)</f>
        <v/>
      </c>
      <c r="E45" s="27">
        <f>SUMIF('Hauptmagazin'!$A:$A,$B45,'Hauptmagazin'!$F:$F)</f>
        <v/>
      </c>
      <c r="F45" s="27">
        <f>SUMIF('Panorama'!$A:$A,$B45,'Panorama'!$F:$F)</f>
        <v/>
      </c>
      <c r="G45" s="27">
        <f>SUMIF('Kachelofen'!$A:$A,$B45,'Kachelofen'!$F:$F)</f>
        <v/>
      </c>
      <c r="H45" s="27">
        <f>SUMIF('Gugelhupf'!$A:$A,$B45,'Gugelhupf'!$F:$F)</f>
        <v/>
      </c>
      <c r="I45" s="27">
        <f>SUMIF('Lucia'!$A:$A,$B45,'Lucia'!$F:$F)</f>
        <v/>
      </c>
      <c r="J45" s="27">
        <f>SUMIF('Bar'!$A:$A,$B45,'Bar'!$F:$F)</f>
        <v/>
      </c>
      <c r="K45" s="28">
        <f>SUM(E45:J45)</f>
        <v/>
      </c>
    </row>
    <row r="46">
      <c r="A46" s="15">
        <f>IF(Artikelstamm!$A46="","",Artikelstamm!$A46)</f>
        <v/>
      </c>
      <c r="B46" s="17">
        <f>IF(Artikelstamm!$B46="","",Artikelstamm!$B46)</f>
        <v/>
      </c>
      <c r="C46" s="17">
        <f>IF(Artikelstamm!$C46="","",Artikelstamm!$C46)</f>
        <v/>
      </c>
      <c r="D46" s="15">
        <f>IF(Artikelstamm!$E46="","",Artikelstamm!$E46)</f>
        <v/>
      </c>
      <c r="E46" s="29">
        <f>SUMIF('Hauptmagazin'!$A:$A,$B46,'Hauptmagazin'!$F:$F)</f>
        <v/>
      </c>
      <c r="F46" s="29">
        <f>SUMIF('Panorama'!$A:$A,$B46,'Panorama'!$F:$F)</f>
        <v/>
      </c>
      <c r="G46" s="29">
        <f>SUMIF('Kachelofen'!$A:$A,$B46,'Kachelofen'!$F:$F)</f>
        <v/>
      </c>
      <c r="H46" s="29">
        <f>SUMIF('Gugelhupf'!$A:$A,$B46,'Gugelhupf'!$F:$F)</f>
        <v/>
      </c>
      <c r="I46" s="29">
        <f>SUMIF('Lucia'!$A:$A,$B46,'Lucia'!$F:$F)</f>
        <v/>
      </c>
      <c r="J46" s="29">
        <f>SUMIF('Bar'!$A:$A,$B46,'Bar'!$F:$F)</f>
        <v/>
      </c>
      <c r="K46" s="30">
        <f>SUM(E46:J46)</f>
        <v/>
      </c>
    </row>
    <row r="47">
      <c r="A47" s="12">
        <f>IF(Artikelstamm!$A47="","",Artikelstamm!$A47)</f>
        <v/>
      </c>
      <c r="B47" s="14">
        <f>IF(Artikelstamm!$B47="","",Artikelstamm!$B47)</f>
        <v/>
      </c>
      <c r="C47" s="14">
        <f>IF(Artikelstamm!$C47="","",Artikelstamm!$C47)</f>
        <v/>
      </c>
      <c r="D47" s="12">
        <f>IF(Artikelstamm!$E47="","",Artikelstamm!$E47)</f>
        <v/>
      </c>
      <c r="E47" s="27">
        <f>SUMIF('Hauptmagazin'!$A:$A,$B47,'Hauptmagazin'!$F:$F)</f>
        <v/>
      </c>
      <c r="F47" s="27">
        <f>SUMIF('Panorama'!$A:$A,$B47,'Panorama'!$F:$F)</f>
        <v/>
      </c>
      <c r="G47" s="27">
        <f>SUMIF('Kachelofen'!$A:$A,$B47,'Kachelofen'!$F:$F)</f>
        <v/>
      </c>
      <c r="H47" s="27">
        <f>SUMIF('Gugelhupf'!$A:$A,$B47,'Gugelhupf'!$F:$F)</f>
        <v/>
      </c>
      <c r="I47" s="27">
        <f>SUMIF('Lucia'!$A:$A,$B47,'Lucia'!$F:$F)</f>
        <v/>
      </c>
      <c r="J47" s="27">
        <f>SUMIF('Bar'!$A:$A,$B47,'Bar'!$F:$F)</f>
        <v/>
      </c>
      <c r="K47" s="28">
        <f>SUM(E47:J47)</f>
        <v/>
      </c>
    </row>
    <row r="48">
      <c r="A48" s="15">
        <f>IF(Artikelstamm!$A48="","",Artikelstamm!$A48)</f>
        <v/>
      </c>
      <c r="B48" s="17">
        <f>IF(Artikelstamm!$B48="","",Artikelstamm!$B48)</f>
        <v/>
      </c>
      <c r="C48" s="17">
        <f>IF(Artikelstamm!$C48="","",Artikelstamm!$C48)</f>
        <v/>
      </c>
      <c r="D48" s="15">
        <f>IF(Artikelstamm!$E48="","",Artikelstamm!$E48)</f>
        <v/>
      </c>
      <c r="E48" s="29">
        <f>SUMIF('Hauptmagazin'!$A:$A,$B48,'Hauptmagazin'!$F:$F)</f>
        <v/>
      </c>
      <c r="F48" s="29">
        <f>SUMIF('Panorama'!$A:$A,$B48,'Panorama'!$F:$F)</f>
        <v/>
      </c>
      <c r="G48" s="29">
        <f>SUMIF('Kachelofen'!$A:$A,$B48,'Kachelofen'!$F:$F)</f>
        <v/>
      </c>
      <c r="H48" s="29">
        <f>SUMIF('Gugelhupf'!$A:$A,$B48,'Gugelhupf'!$F:$F)</f>
        <v/>
      </c>
      <c r="I48" s="29">
        <f>SUMIF('Lucia'!$A:$A,$B48,'Lucia'!$F:$F)</f>
        <v/>
      </c>
      <c r="J48" s="29">
        <f>SUMIF('Bar'!$A:$A,$B48,'Bar'!$F:$F)</f>
        <v/>
      </c>
      <c r="K48" s="30">
        <f>SUM(E48:J48)</f>
        <v/>
      </c>
    </row>
    <row r="49">
      <c r="A49" s="12">
        <f>IF(Artikelstamm!$A49="","",Artikelstamm!$A49)</f>
        <v/>
      </c>
      <c r="B49" s="14">
        <f>IF(Artikelstamm!$B49="","",Artikelstamm!$B49)</f>
        <v/>
      </c>
      <c r="C49" s="14">
        <f>IF(Artikelstamm!$C49="","",Artikelstamm!$C49)</f>
        <v/>
      </c>
      <c r="D49" s="12">
        <f>IF(Artikelstamm!$E49="","",Artikelstamm!$E49)</f>
        <v/>
      </c>
      <c r="E49" s="27">
        <f>SUMIF('Hauptmagazin'!$A:$A,$B49,'Hauptmagazin'!$F:$F)</f>
        <v/>
      </c>
      <c r="F49" s="27">
        <f>SUMIF('Panorama'!$A:$A,$B49,'Panorama'!$F:$F)</f>
        <v/>
      </c>
      <c r="G49" s="27">
        <f>SUMIF('Kachelofen'!$A:$A,$B49,'Kachelofen'!$F:$F)</f>
        <v/>
      </c>
      <c r="H49" s="27">
        <f>SUMIF('Gugelhupf'!$A:$A,$B49,'Gugelhupf'!$F:$F)</f>
        <v/>
      </c>
      <c r="I49" s="27">
        <f>SUMIF('Lucia'!$A:$A,$B49,'Lucia'!$F:$F)</f>
        <v/>
      </c>
      <c r="J49" s="27">
        <f>SUMIF('Bar'!$A:$A,$B49,'Bar'!$F:$F)</f>
        <v/>
      </c>
      <c r="K49" s="28">
        <f>SUM(E49:J49)</f>
        <v/>
      </c>
    </row>
    <row r="50">
      <c r="A50" s="15">
        <f>IF(Artikelstamm!$A50="","",Artikelstamm!$A50)</f>
        <v/>
      </c>
      <c r="B50" s="17">
        <f>IF(Artikelstamm!$B50="","",Artikelstamm!$B50)</f>
        <v/>
      </c>
      <c r="C50" s="17">
        <f>IF(Artikelstamm!$C50="","",Artikelstamm!$C50)</f>
        <v/>
      </c>
      <c r="D50" s="15">
        <f>IF(Artikelstamm!$E50="","",Artikelstamm!$E50)</f>
        <v/>
      </c>
      <c r="E50" s="29">
        <f>SUMIF('Hauptmagazin'!$A:$A,$B50,'Hauptmagazin'!$F:$F)</f>
        <v/>
      </c>
      <c r="F50" s="29">
        <f>SUMIF('Panorama'!$A:$A,$B50,'Panorama'!$F:$F)</f>
        <v/>
      </c>
      <c r="G50" s="29">
        <f>SUMIF('Kachelofen'!$A:$A,$B50,'Kachelofen'!$F:$F)</f>
        <v/>
      </c>
      <c r="H50" s="29">
        <f>SUMIF('Gugelhupf'!$A:$A,$B50,'Gugelhupf'!$F:$F)</f>
        <v/>
      </c>
      <c r="I50" s="29">
        <f>SUMIF('Lucia'!$A:$A,$B50,'Lucia'!$F:$F)</f>
        <v/>
      </c>
      <c r="J50" s="29">
        <f>SUMIF('Bar'!$A:$A,$B50,'Bar'!$F:$F)</f>
        <v/>
      </c>
      <c r="K50" s="30">
        <f>SUM(E50:J50)</f>
        <v/>
      </c>
    </row>
    <row r="51">
      <c r="A51" s="12">
        <f>IF(Artikelstamm!$A51="","",Artikelstamm!$A51)</f>
        <v/>
      </c>
      <c r="B51" s="14">
        <f>IF(Artikelstamm!$B51="","",Artikelstamm!$B51)</f>
        <v/>
      </c>
      <c r="C51" s="14">
        <f>IF(Artikelstamm!$C51="","",Artikelstamm!$C51)</f>
        <v/>
      </c>
      <c r="D51" s="12">
        <f>IF(Artikelstamm!$E51="","",Artikelstamm!$E51)</f>
        <v/>
      </c>
      <c r="E51" s="27">
        <f>SUMIF('Hauptmagazin'!$A:$A,$B51,'Hauptmagazin'!$F:$F)</f>
        <v/>
      </c>
      <c r="F51" s="27">
        <f>SUMIF('Panorama'!$A:$A,$B51,'Panorama'!$F:$F)</f>
        <v/>
      </c>
      <c r="G51" s="27">
        <f>SUMIF('Kachelofen'!$A:$A,$B51,'Kachelofen'!$F:$F)</f>
        <v/>
      </c>
      <c r="H51" s="27">
        <f>SUMIF('Gugelhupf'!$A:$A,$B51,'Gugelhupf'!$F:$F)</f>
        <v/>
      </c>
      <c r="I51" s="27">
        <f>SUMIF('Lucia'!$A:$A,$B51,'Lucia'!$F:$F)</f>
        <v/>
      </c>
      <c r="J51" s="27">
        <f>SUMIF('Bar'!$A:$A,$B51,'Bar'!$F:$F)</f>
        <v/>
      </c>
      <c r="K51" s="28">
        <f>SUM(E51:J51)</f>
        <v/>
      </c>
    </row>
    <row r="52">
      <c r="A52" s="15">
        <f>IF(Artikelstamm!$A52="","",Artikelstamm!$A52)</f>
        <v/>
      </c>
      <c r="B52" s="17">
        <f>IF(Artikelstamm!$B52="","",Artikelstamm!$B52)</f>
        <v/>
      </c>
      <c r="C52" s="17">
        <f>IF(Artikelstamm!$C52="","",Artikelstamm!$C52)</f>
        <v/>
      </c>
      <c r="D52" s="15">
        <f>IF(Artikelstamm!$E52="","",Artikelstamm!$E52)</f>
        <v/>
      </c>
      <c r="E52" s="29">
        <f>SUMIF('Hauptmagazin'!$A:$A,$B52,'Hauptmagazin'!$F:$F)</f>
        <v/>
      </c>
      <c r="F52" s="29">
        <f>SUMIF('Panorama'!$A:$A,$B52,'Panorama'!$F:$F)</f>
        <v/>
      </c>
      <c r="G52" s="29">
        <f>SUMIF('Kachelofen'!$A:$A,$B52,'Kachelofen'!$F:$F)</f>
        <v/>
      </c>
      <c r="H52" s="29">
        <f>SUMIF('Gugelhupf'!$A:$A,$B52,'Gugelhupf'!$F:$F)</f>
        <v/>
      </c>
      <c r="I52" s="29">
        <f>SUMIF('Lucia'!$A:$A,$B52,'Lucia'!$F:$F)</f>
        <v/>
      </c>
      <c r="J52" s="29">
        <f>SUMIF('Bar'!$A:$A,$B52,'Bar'!$F:$F)</f>
        <v/>
      </c>
      <c r="K52" s="30">
        <f>SUM(E52:J52)</f>
        <v/>
      </c>
    </row>
    <row r="53">
      <c r="A53" s="12">
        <f>IF(Artikelstamm!$A53="","",Artikelstamm!$A53)</f>
        <v/>
      </c>
      <c r="B53" s="14">
        <f>IF(Artikelstamm!$B53="","",Artikelstamm!$B53)</f>
        <v/>
      </c>
      <c r="C53" s="14">
        <f>IF(Artikelstamm!$C53="","",Artikelstamm!$C53)</f>
        <v/>
      </c>
      <c r="D53" s="12">
        <f>IF(Artikelstamm!$E53="","",Artikelstamm!$E53)</f>
        <v/>
      </c>
      <c r="E53" s="27">
        <f>SUMIF('Hauptmagazin'!$A:$A,$B53,'Hauptmagazin'!$F:$F)</f>
        <v/>
      </c>
      <c r="F53" s="27">
        <f>SUMIF('Panorama'!$A:$A,$B53,'Panorama'!$F:$F)</f>
        <v/>
      </c>
      <c r="G53" s="27">
        <f>SUMIF('Kachelofen'!$A:$A,$B53,'Kachelofen'!$F:$F)</f>
        <v/>
      </c>
      <c r="H53" s="27">
        <f>SUMIF('Gugelhupf'!$A:$A,$B53,'Gugelhupf'!$F:$F)</f>
        <v/>
      </c>
      <c r="I53" s="27">
        <f>SUMIF('Lucia'!$A:$A,$B53,'Lucia'!$F:$F)</f>
        <v/>
      </c>
      <c r="J53" s="27">
        <f>SUMIF('Bar'!$A:$A,$B53,'Bar'!$F:$F)</f>
        <v/>
      </c>
      <c r="K53" s="28">
        <f>SUM(E53:J53)</f>
        <v/>
      </c>
    </row>
    <row r="54">
      <c r="A54" s="15">
        <f>IF(Artikelstamm!$A54="","",Artikelstamm!$A54)</f>
        <v/>
      </c>
      <c r="B54" s="17">
        <f>IF(Artikelstamm!$B54="","",Artikelstamm!$B54)</f>
        <v/>
      </c>
      <c r="C54" s="17">
        <f>IF(Artikelstamm!$C54="","",Artikelstamm!$C54)</f>
        <v/>
      </c>
      <c r="D54" s="15">
        <f>IF(Artikelstamm!$E54="","",Artikelstamm!$E54)</f>
        <v/>
      </c>
      <c r="E54" s="29">
        <f>SUMIF('Hauptmagazin'!$A:$A,$B54,'Hauptmagazin'!$F:$F)</f>
        <v/>
      </c>
      <c r="F54" s="29">
        <f>SUMIF('Panorama'!$A:$A,$B54,'Panorama'!$F:$F)</f>
        <v/>
      </c>
      <c r="G54" s="29">
        <f>SUMIF('Kachelofen'!$A:$A,$B54,'Kachelofen'!$F:$F)</f>
        <v/>
      </c>
      <c r="H54" s="29">
        <f>SUMIF('Gugelhupf'!$A:$A,$B54,'Gugelhupf'!$F:$F)</f>
        <v/>
      </c>
      <c r="I54" s="29">
        <f>SUMIF('Lucia'!$A:$A,$B54,'Lucia'!$F:$F)</f>
        <v/>
      </c>
      <c r="J54" s="29">
        <f>SUMIF('Bar'!$A:$A,$B54,'Bar'!$F:$F)</f>
        <v/>
      </c>
      <c r="K54" s="30">
        <f>SUM(E54:J54)</f>
        <v/>
      </c>
    </row>
    <row r="55">
      <c r="A55" s="12">
        <f>IF(Artikelstamm!$A55="","",Artikelstamm!$A55)</f>
        <v/>
      </c>
      <c r="B55" s="14">
        <f>IF(Artikelstamm!$B55="","",Artikelstamm!$B55)</f>
        <v/>
      </c>
      <c r="C55" s="14">
        <f>IF(Artikelstamm!$C55="","",Artikelstamm!$C55)</f>
        <v/>
      </c>
      <c r="D55" s="12">
        <f>IF(Artikelstamm!$E55="","",Artikelstamm!$E55)</f>
        <v/>
      </c>
      <c r="E55" s="27">
        <f>SUMIF('Hauptmagazin'!$A:$A,$B55,'Hauptmagazin'!$F:$F)</f>
        <v/>
      </c>
      <c r="F55" s="27">
        <f>SUMIF('Panorama'!$A:$A,$B55,'Panorama'!$F:$F)</f>
        <v/>
      </c>
      <c r="G55" s="27">
        <f>SUMIF('Kachelofen'!$A:$A,$B55,'Kachelofen'!$F:$F)</f>
        <v/>
      </c>
      <c r="H55" s="27">
        <f>SUMIF('Gugelhupf'!$A:$A,$B55,'Gugelhupf'!$F:$F)</f>
        <v/>
      </c>
      <c r="I55" s="27">
        <f>SUMIF('Lucia'!$A:$A,$B55,'Lucia'!$F:$F)</f>
        <v/>
      </c>
      <c r="J55" s="27">
        <f>SUMIF('Bar'!$A:$A,$B55,'Bar'!$F:$F)</f>
        <v/>
      </c>
      <c r="K55" s="28">
        <f>SUM(E55:J55)</f>
        <v/>
      </c>
    </row>
    <row r="56">
      <c r="A56" s="15">
        <f>IF(Artikelstamm!$A56="","",Artikelstamm!$A56)</f>
        <v/>
      </c>
      <c r="B56" s="17">
        <f>IF(Artikelstamm!$B56="","",Artikelstamm!$B56)</f>
        <v/>
      </c>
      <c r="C56" s="17">
        <f>IF(Artikelstamm!$C56="","",Artikelstamm!$C56)</f>
        <v/>
      </c>
      <c r="D56" s="15">
        <f>IF(Artikelstamm!$E56="","",Artikelstamm!$E56)</f>
        <v/>
      </c>
      <c r="E56" s="29">
        <f>SUMIF('Hauptmagazin'!$A:$A,$B56,'Hauptmagazin'!$F:$F)</f>
        <v/>
      </c>
      <c r="F56" s="29">
        <f>SUMIF('Panorama'!$A:$A,$B56,'Panorama'!$F:$F)</f>
        <v/>
      </c>
      <c r="G56" s="29">
        <f>SUMIF('Kachelofen'!$A:$A,$B56,'Kachelofen'!$F:$F)</f>
        <v/>
      </c>
      <c r="H56" s="29">
        <f>SUMIF('Gugelhupf'!$A:$A,$B56,'Gugelhupf'!$F:$F)</f>
        <v/>
      </c>
      <c r="I56" s="29">
        <f>SUMIF('Lucia'!$A:$A,$B56,'Lucia'!$F:$F)</f>
        <v/>
      </c>
      <c r="J56" s="29">
        <f>SUMIF('Bar'!$A:$A,$B56,'Bar'!$F:$F)</f>
        <v/>
      </c>
      <c r="K56" s="30">
        <f>SUM(E56:J56)</f>
        <v/>
      </c>
    </row>
    <row r="57">
      <c r="A57" s="12">
        <f>IF(Artikelstamm!$A57="","",Artikelstamm!$A57)</f>
        <v/>
      </c>
      <c r="B57" s="14">
        <f>IF(Artikelstamm!$B57="","",Artikelstamm!$B57)</f>
        <v/>
      </c>
      <c r="C57" s="14">
        <f>IF(Artikelstamm!$C57="","",Artikelstamm!$C57)</f>
        <v/>
      </c>
      <c r="D57" s="12">
        <f>IF(Artikelstamm!$E57="","",Artikelstamm!$E57)</f>
        <v/>
      </c>
      <c r="E57" s="27">
        <f>SUMIF('Hauptmagazin'!$A:$A,$B57,'Hauptmagazin'!$F:$F)</f>
        <v/>
      </c>
      <c r="F57" s="27">
        <f>SUMIF('Panorama'!$A:$A,$B57,'Panorama'!$F:$F)</f>
        <v/>
      </c>
      <c r="G57" s="27">
        <f>SUMIF('Kachelofen'!$A:$A,$B57,'Kachelofen'!$F:$F)</f>
        <v/>
      </c>
      <c r="H57" s="27">
        <f>SUMIF('Gugelhupf'!$A:$A,$B57,'Gugelhupf'!$F:$F)</f>
        <v/>
      </c>
      <c r="I57" s="27">
        <f>SUMIF('Lucia'!$A:$A,$B57,'Lucia'!$F:$F)</f>
        <v/>
      </c>
      <c r="J57" s="27">
        <f>SUMIF('Bar'!$A:$A,$B57,'Bar'!$F:$F)</f>
        <v/>
      </c>
      <c r="K57" s="28">
        <f>SUM(E57:J57)</f>
        <v/>
      </c>
    </row>
    <row r="58">
      <c r="A58" s="15">
        <f>IF(Artikelstamm!$A58="","",Artikelstamm!$A58)</f>
        <v/>
      </c>
      <c r="B58" s="17">
        <f>IF(Artikelstamm!$B58="","",Artikelstamm!$B58)</f>
        <v/>
      </c>
      <c r="C58" s="17">
        <f>IF(Artikelstamm!$C58="","",Artikelstamm!$C58)</f>
        <v/>
      </c>
      <c r="D58" s="15">
        <f>IF(Artikelstamm!$E58="","",Artikelstamm!$E58)</f>
        <v/>
      </c>
      <c r="E58" s="29">
        <f>SUMIF('Hauptmagazin'!$A:$A,$B58,'Hauptmagazin'!$F:$F)</f>
        <v/>
      </c>
      <c r="F58" s="29">
        <f>SUMIF('Panorama'!$A:$A,$B58,'Panorama'!$F:$F)</f>
        <v/>
      </c>
      <c r="G58" s="29">
        <f>SUMIF('Kachelofen'!$A:$A,$B58,'Kachelofen'!$F:$F)</f>
        <v/>
      </c>
      <c r="H58" s="29">
        <f>SUMIF('Gugelhupf'!$A:$A,$B58,'Gugelhupf'!$F:$F)</f>
        <v/>
      </c>
      <c r="I58" s="29">
        <f>SUMIF('Lucia'!$A:$A,$B58,'Lucia'!$F:$F)</f>
        <v/>
      </c>
      <c r="J58" s="29">
        <f>SUMIF('Bar'!$A:$A,$B58,'Bar'!$F:$F)</f>
        <v/>
      </c>
      <c r="K58" s="30">
        <f>SUM(E58:J58)</f>
        <v/>
      </c>
    </row>
    <row r="59">
      <c r="A59" s="12">
        <f>IF(Artikelstamm!$A59="","",Artikelstamm!$A59)</f>
        <v/>
      </c>
      <c r="B59" s="14">
        <f>IF(Artikelstamm!$B59="","",Artikelstamm!$B59)</f>
        <v/>
      </c>
      <c r="C59" s="14">
        <f>IF(Artikelstamm!$C59="","",Artikelstamm!$C59)</f>
        <v/>
      </c>
      <c r="D59" s="12">
        <f>IF(Artikelstamm!$E59="","",Artikelstamm!$E59)</f>
        <v/>
      </c>
      <c r="E59" s="27">
        <f>SUMIF('Hauptmagazin'!$A:$A,$B59,'Hauptmagazin'!$F:$F)</f>
        <v/>
      </c>
      <c r="F59" s="27">
        <f>SUMIF('Panorama'!$A:$A,$B59,'Panorama'!$F:$F)</f>
        <v/>
      </c>
      <c r="G59" s="27">
        <f>SUMIF('Kachelofen'!$A:$A,$B59,'Kachelofen'!$F:$F)</f>
        <v/>
      </c>
      <c r="H59" s="27">
        <f>SUMIF('Gugelhupf'!$A:$A,$B59,'Gugelhupf'!$F:$F)</f>
        <v/>
      </c>
      <c r="I59" s="27">
        <f>SUMIF('Lucia'!$A:$A,$B59,'Lucia'!$F:$F)</f>
        <v/>
      </c>
      <c r="J59" s="27">
        <f>SUMIF('Bar'!$A:$A,$B59,'Bar'!$F:$F)</f>
        <v/>
      </c>
      <c r="K59" s="28">
        <f>SUM(E59:J59)</f>
        <v/>
      </c>
    </row>
    <row r="60">
      <c r="A60" s="15">
        <f>IF(Artikelstamm!$A60="","",Artikelstamm!$A60)</f>
        <v/>
      </c>
      <c r="B60" s="17">
        <f>IF(Artikelstamm!$B60="","",Artikelstamm!$B60)</f>
        <v/>
      </c>
      <c r="C60" s="17">
        <f>IF(Artikelstamm!$C60="","",Artikelstamm!$C60)</f>
        <v/>
      </c>
      <c r="D60" s="15">
        <f>IF(Artikelstamm!$E60="","",Artikelstamm!$E60)</f>
        <v/>
      </c>
      <c r="E60" s="29">
        <f>SUMIF('Hauptmagazin'!$A:$A,$B60,'Hauptmagazin'!$F:$F)</f>
        <v/>
      </c>
      <c r="F60" s="29">
        <f>SUMIF('Panorama'!$A:$A,$B60,'Panorama'!$F:$F)</f>
        <v/>
      </c>
      <c r="G60" s="29">
        <f>SUMIF('Kachelofen'!$A:$A,$B60,'Kachelofen'!$F:$F)</f>
        <v/>
      </c>
      <c r="H60" s="29">
        <f>SUMIF('Gugelhupf'!$A:$A,$B60,'Gugelhupf'!$F:$F)</f>
        <v/>
      </c>
      <c r="I60" s="29">
        <f>SUMIF('Lucia'!$A:$A,$B60,'Lucia'!$F:$F)</f>
        <v/>
      </c>
      <c r="J60" s="29">
        <f>SUMIF('Bar'!$A:$A,$B60,'Bar'!$F:$F)</f>
        <v/>
      </c>
      <c r="K60" s="30">
        <f>SUM(E60:J60)</f>
        <v/>
      </c>
    </row>
    <row r="61">
      <c r="A61" s="12">
        <f>IF(Artikelstamm!$A61="","",Artikelstamm!$A61)</f>
        <v/>
      </c>
      <c r="B61" s="14">
        <f>IF(Artikelstamm!$B61="","",Artikelstamm!$B61)</f>
        <v/>
      </c>
      <c r="C61" s="14">
        <f>IF(Artikelstamm!$C61="","",Artikelstamm!$C61)</f>
        <v/>
      </c>
      <c r="D61" s="12">
        <f>IF(Artikelstamm!$E61="","",Artikelstamm!$E61)</f>
        <v/>
      </c>
      <c r="E61" s="27">
        <f>SUMIF('Hauptmagazin'!$A:$A,$B61,'Hauptmagazin'!$F:$F)</f>
        <v/>
      </c>
      <c r="F61" s="27">
        <f>SUMIF('Panorama'!$A:$A,$B61,'Panorama'!$F:$F)</f>
        <v/>
      </c>
      <c r="G61" s="27">
        <f>SUMIF('Kachelofen'!$A:$A,$B61,'Kachelofen'!$F:$F)</f>
        <v/>
      </c>
      <c r="H61" s="27">
        <f>SUMIF('Gugelhupf'!$A:$A,$B61,'Gugelhupf'!$F:$F)</f>
        <v/>
      </c>
      <c r="I61" s="27">
        <f>SUMIF('Lucia'!$A:$A,$B61,'Lucia'!$F:$F)</f>
        <v/>
      </c>
      <c r="J61" s="27">
        <f>SUMIF('Bar'!$A:$A,$B61,'Bar'!$F:$F)</f>
        <v/>
      </c>
      <c r="K61" s="28">
        <f>SUM(E61:J61)</f>
        <v/>
      </c>
    </row>
    <row r="62">
      <c r="A62" s="15">
        <f>IF(Artikelstamm!$A62="","",Artikelstamm!$A62)</f>
        <v/>
      </c>
      <c r="B62" s="17">
        <f>IF(Artikelstamm!$B62="","",Artikelstamm!$B62)</f>
        <v/>
      </c>
      <c r="C62" s="17">
        <f>IF(Artikelstamm!$C62="","",Artikelstamm!$C62)</f>
        <v/>
      </c>
      <c r="D62" s="15">
        <f>IF(Artikelstamm!$E62="","",Artikelstamm!$E62)</f>
        <v/>
      </c>
      <c r="E62" s="29">
        <f>SUMIF('Hauptmagazin'!$A:$A,$B62,'Hauptmagazin'!$F:$F)</f>
        <v/>
      </c>
      <c r="F62" s="29">
        <f>SUMIF('Panorama'!$A:$A,$B62,'Panorama'!$F:$F)</f>
        <v/>
      </c>
      <c r="G62" s="29">
        <f>SUMIF('Kachelofen'!$A:$A,$B62,'Kachelofen'!$F:$F)</f>
        <v/>
      </c>
      <c r="H62" s="29">
        <f>SUMIF('Gugelhupf'!$A:$A,$B62,'Gugelhupf'!$F:$F)</f>
        <v/>
      </c>
      <c r="I62" s="29">
        <f>SUMIF('Lucia'!$A:$A,$B62,'Lucia'!$F:$F)</f>
        <v/>
      </c>
      <c r="J62" s="29">
        <f>SUMIF('Bar'!$A:$A,$B62,'Bar'!$F:$F)</f>
        <v/>
      </c>
      <c r="K62" s="30">
        <f>SUM(E62:J62)</f>
        <v/>
      </c>
    </row>
    <row r="63">
      <c r="A63" s="12">
        <f>IF(Artikelstamm!$A63="","",Artikelstamm!$A63)</f>
        <v/>
      </c>
      <c r="B63" s="14">
        <f>IF(Artikelstamm!$B63="","",Artikelstamm!$B63)</f>
        <v/>
      </c>
      <c r="C63" s="14">
        <f>IF(Artikelstamm!$C63="","",Artikelstamm!$C63)</f>
        <v/>
      </c>
      <c r="D63" s="12">
        <f>IF(Artikelstamm!$E63="","",Artikelstamm!$E63)</f>
        <v/>
      </c>
      <c r="E63" s="27">
        <f>SUMIF('Hauptmagazin'!$A:$A,$B63,'Hauptmagazin'!$F:$F)</f>
        <v/>
      </c>
      <c r="F63" s="27">
        <f>SUMIF('Panorama'!$A:$A,$B63,'Panorama'!$F:$F)</f>
        <v/>
      </c>
      <c r="G63" s="27">
        <f>SUMIF('Kachelofen'!$A:$A,$B63,'Kachelofen'!$F:$F)</f>
        <v/>
      </c>
      <c r="H63" s="27">
        <f>SUMIF('Gugelhupf'!$A:$A,$B63,'Gugelhupf'!$F:$F)</f>
        <v/>
      </c>
      <c r="I63" s="27">
        <f>SUMIF('Lucia'!$A:$A,$B63,'Lucia'!$F:$F)</f>
        <v/>
      </c>
      <c r="J63" s="27">
        <f>SUMIF('Bar'!$A:$A,$B63,'Bar'!$F:$F)</f>
        <v/>
      </c>
      <c r="K63" s="28">
        <f>SUM(E63:J63)</f>
        <v/>
      </c>
    </row>
    <row r="64">
      <c r="A64" s="15">
        <f>IF(Artikelstamm!$A64="","",Artikelstamm!$A64)</f>
        <v/>
      </c>
      <c r="B64" s="17">
        <f>IF(Artikelstamm!$B64="","",Artikelstamm!$B64)</f>
        <v/>
      </c>
      <c r="C64" s="17">
        <f>IF(Artikelstamm!$C64="","",Artikelstamm!$C64)</f>
        <v/>
      </c>
      <c r="D64" s="15">
        <f>IF(Artikelstamm!$E64="","",Artikelstamm!$E64)</f>
        <v/>
      </c>
      <c r="E64" s="29">
        <f>SUMIF('Hauptmagazin'!$A:$A,$B64,'Hauptmagazin'!$F:$F)</f>
        <v/>
      </c>
      <c r="F64" s="29">
        <f>SUMIF('Panorama'!$A:$A,$B64,'Panorama'!$F:$F)</f>
        <v/>
      </c>
      <c r="G64" s="29">
        <f>SUMIF('Kachelofen'!$A:$A,$B64,'Kachelofen'!$F:$F)</f>
        <v/>
      </c>
      <c r="H64" s="29">
        <f>SUMIF('Gugelhupf'!$A:$A,$B64,'Gugelhupf'!$F:$F)</f>
        <v/>
      </c>
      <c r="I64" s="29">
        <f>SUMIF('Lucia'!$A:$A,$B64,'Lucia'!$F:$F)</f>
        <v/>
      </c>
      <c r="J64" s="29">
        <f>SUMIF('Bar'!$A:$A,$B64,'Bar'!$F:$F)</f>
        <v/>
      </c>
      <c r="K64" s="30">
        <f>SUM(E64:J64)</f>
        <v/>
      </c>
    </row>
    <row r="65">
      <c r="A65" s="12">
        <f>IF(Artikelstamm!$A65="","",Artikelstamm!$A65)</f>
        <v/>
      </c>
      <c r="B65" s="14">
        <f>IF(Artikelstamm!$B65="","",Artikelstamm!$B65)</f>
        <v/>
      </c>
      <c r="C65" s="14">
        <f>IF(Artikelstamm!$C65="","",Artikelstamm!$C65)</f>
        <v/>
      </c>
      <c r="D65" s="12">
        <f>IF(Artikelstamm!$E65="","",Artikelstamm!$E65)</f>
        <v/>
      </c>
      <c r="E65" s="27">
        <f>SUMIF('Hauptmagazin'!$A:$A,$B65,'Hauptmagazin'!$F:$F)</f>
        <v/>
      </c>
      <c r="F65" s="27">
        <f>SUMIF('Panorama'!$A:$A,$B65,'Panorama'!$F:$F)</f>
        <v/>
      </c>
      <c r="G65" s="27">
        <f>SUMIF('Kachelofen'!$A:$A,$B65,'Kachelofen'!$F:$F)</f>
        <v/>
      </c>
      <c r="H65" s="27">
        <f>SUMIF('Gugelhupf'!$A:$A,$B65,'Gugelhupf'!$F:$F)</f>
        <v/>
      </c>
      <c r="I65" s="27">
        <f>SUMIF('Lucia'!$A:$A,$B65,'Lucia'!$F:$F)</f>
        <v/>
      </c>
      <c r="J65" s="27">
        <f>SUMIF('Bar'!$A:$A,$B65,'Bar'!$F:$F)</f>
        <v/>
      </c>
      <c r="K65" s="28">
        <f>SUM(E65:J65)</f>
        <v/>
      </c>
    </row>
    <row r="66">
      <c r="A66" s="15">
        <f>IF(Artikelstamm!$A66="","",Artikelstamm!$A66)</f>
        <v/>
      </c>
      <c r="B66" s="17">
        <f>IF(Artikelstamm!$B66="","",Artikelstamm!$B66)</f>
        <v/>
      </c>
      <c r="C66" s="17">
        <f>IF(Artikelstamm!$C66="","",Artikelstamm!$C66)</f>
        <v/>
      </c>
      <c r="D66" s="15">
        <f>IF(Artikelstamm!$E66="","",Artikelstamm!$E66)</f>
        <v/>
      </c>
      <c r="E66" s="29">
        <f>SUMIF('Hauptmagazin'!$A:$A,$B66,'Hauptmagazin'!$F:$F)</f>
        <v/>
      </c>
      <c r="F66" s="29">
        <f>SUMIF('Panorama'!$A:$A,$B66,'Panorama'!$F:$F)</f>
        <v/>
      </c>
      <c r="G66" s="29">
        <f>SUMIF('Kachelofen'!$A:$A,$B66,'Kachelofen'!$F:$F)</f>
        <v/>
      </c>
      <c r="H66" s="29">
        <f>SUMIF('Gugelhupf'!$A:$A,$B66,'Gugelhupf'!$F:$F)</f>
        <v/>
      </c>
      <c r="I66" s="29">
        <f>SUMIF('Lucia'!$A:$A,$B66,'Lucia'!$F:$F)</f>
        <v/>
      </c>
      <c r="J66" s="29">
        <f>SUMIF('Bar'!$A:$A,$B66,'Bar'!$F:$F)</f>
        <v/>
      </c>
      <c r="K66" s="30">
        <f>SUM(E66:J66)</f>
        <v/>
      </c>
    </row>
    <row r="67">
      <c r="A67" s="12">
        <f>IF(Artikelstamm!$A67="","",Artikelstamm!$A67)</f>
        <v/>
      </c>
      <c r="B67" s="14">
        <f>IF(Artikelstamm!$B67="","",Artikelstamm!$B67)</f>
        <v/>
      </c>
      <c r="C67" s="14">
        <f>IF(Artikelstamm!$C67="","",Artikelstamm!$C67)</f>
        <v/>
      </c>
      <c r="D67" s="12">
        <f>IF(Artikelstamm!$E67="","",Artikelstamm!$E67)</f>
        <v/>
      </c>
      <c r="E67" s="27">
        <f>SUMIF('Hauptmagazin'!$A:$A,$B67,'Hauptmagazin'!$F:$F)</f>
        <v/>
      </c>
      <c r="F67" s="27">
        <f>SUMIF('Panorama'!$A:$A,$B67,'Panorama'!$F:$F)</f>
        <v/>
      </c>
      <c r="G67" s="27">
        <f>SUMIF('Kachelofen'!$A:$A,$B67,'Kachelofen'!$F:$F)</f>
        <v/>
      </c>
      <c r="H67" s="27">
        <f>SUMIF('Gugelhupf'!$A:$A,$B67,'Gugelhupf'!$F:$F)</f>
        <v/>
      </c>
      <c r="I67" s="27">
        <f>SUMIF('Lucia'!$A:$A,$B67,'Lucia'!$F:$F)</f>
        <v/>
      </c>
      <c r="J67" s="27">
        <f>SUMIF('Bar'!$A:$A,$B67,'Bar'!$F:$F)</f>
        <v/>
      </c>
      <c r="K67" s="28">
        <f>SUM(E67:J67)</f>
        <v/>
      </c>
    </row>
    <row r="68">
      <c r="A68" s="15">
        <f>IF(Artikelstamm!$A68="","",Artikelstamm!$A68)</f>
        <v/>
      </c>
      <c r="B68" s="17">
        <f>IF(Artikelstamm!$B68="","",Artikelstamm!$B68)</f>
        <v/>
      </c>
      <c r="C68" s="17">
        <f>IF(Artikelstamm!$C68="","",Artikelstamm!$C68)</f>
        <v/>
      </c>
      <c r="D68" s="15">
        <f>IF(Artikelstamm!$E68="","",Artikelstamm!$E68)</f>
        <v/>
      </c>
      <c r="E68" s="29">
        <f>SUMIF('Hauptmagazin'!$A:$A,$B68,'Hauptmagazin'!$F:$F)</f>
        <v/>
      </c>
      <c r="F68" s="29">
        <f>SUMIF('Panorama'!$A:$A,$B68,'Panorama'!$F:$F)</f>
        <v/>
      </c>
      <c r="G68" s="29">
        <f>SUMIF('Kachelofen'!$A:$A,$B68,'Kachelofen'!$F:$F)</f>
        <v/>
      </c>
      <c r="H68" s="29">
        <f>SUMIF('Gugelhupf'!$A:$A,$B68,'Gugelhupf'!$F:$F)</f>
        <v/>
      </c>
      <c r="I68" s="29">
        <f>SUMIF('Lucia'!$A:$A,$B68,'Lucia'!$F:$F)</f>
        <v/>
      </c>
      <c r="J68" s="29">
        <f>SUMIF('Bar'!$A:$A,$B68,'Bar'!$F:$F)</f>
        <v/>
      </c>
      <c r="K68" s="30">
        <f>SUM(E68:J68)</f>
        <v/>
      </c>
    </row>
    <row r="69">
      <c r="A69" s="12">
        <f>IF(Artikelstamm!$A69="","",Artikelstamm!$A69)</f>
        <v/>
      </c>
      <c r="B69" s="14">
        <f>IF(Artikelstamm!$B69="","",Artikelstamm!$B69)</f>
        <v/>
      </c>
      <c r="C69" s="14">
        <f>IF(Artikelstamm!$C69="","",Artikelstamm!$C69)</f>
        <v/>
      </c>
      <c r="D69" s="12">
        <f>IF(Artikelstamm!$E69="","",Artikelstamm!$E69)</f>
        <v/>
      </c>
      <c r="E69" s="27">
        <f>SUMIF('Hauptmagazin'!$A:$A,$B69,'Hauptmagazin'!$F:$F)</f>
        <v/>
      </c>
      <c r="F69" s="27">
        <f>SUMIF('Panorama'!$A:$A,$B69,'Panorama'!$F:$F)</f>
        <v/>
      </c>
      <c r="G69" s="27">
        <f>SUMIF('Kachelofen'!$A:$A,$B69,'Kachelofen'!$F:$F)</f>
        <v/>
      </c>
      <c r="H69" s="27">
        <f>SUMIF('Gugelhupf'!$A:$A,$B69,'Gugelhupf'!$F:$F)</f>
        <v/>
      </c>
      <c r="I69" s="27">
        <f>SUMIF('Lucia'!$A:$A,$B69,'Lucia'!$F:$F)</f>
        <v/>
      </c>
      <c r="J69" s="27">
        <f>SUMIF('Bar'!$A:$A,$B69,'Bar'!$F:$F)</f>
        <v/>
      </c>
      <c r="K69" s="28">
        <f>SUM(E69:J69)</f>
        <v/>
      </c>
    </row>
    <row r="70">
      <c r="A70" s="15">
        <f>IF(Artikelstamm!$A70="","",Artikelstamm!$A70)</f>
        <v/>
      </c>
      <c r="B70" s="17">
        <f>IF(Artikelstamm!$B70="","",Artikelstamm!$B70)</f>
        <v/>
      </c>
      <c r="C70" s="17">
        <f>IF(Artikelstamm!$C70="","",Artikelstamm!$C70)</f>
        <v/>
      </c>
      <c r="D70" s="15">
        <f>IF(Artikelstamm!$E70="","",Artikelstamm!$E70)</f>
        <v/>
      </c>
      <c r="E70" s="29">
        <f>SUMIF('Hauptmagazin'!$A:$A,$B70,'Hauptmagazin'!$F:$F)</f>
        <v/>
      </c>
      <c r="F70" s="29">
        <f>SUMIF('Panorama'!$A:$A,$B70,'Panorama'!$F:$F)</f>
        <v/>
      </c>
      <c r="G70" s="29">
        <f>SUMIF('Kachelofen'!$A:$A,$B70,'Kachelofen'!$F:$F)</f>
        <v/>
      </c>
      <c r="H70" s="29">
        <f>SUMIF('Gugelhupf'!$A:$A,$B70,'Gugelhupf'!$F:$F)</f>
        <v/>
      </c>
      <c r="I70" s="29">
        <f>SUMIF('Lucia'!$A:$A,$B70,'Lucia'!$F:$F)</f>
        <v/>
      </c>
      <c r="J70" s="29">
        <f>SUMIF('Bar'!$A:$A,$B70,'Bar'!$F:$F)</f>
        <v/>
      </c>
      <c r="K70" s="30">
        <f>SUM(E70:J70)</f>
        <v/>
      </c>
    </row>
    <row r="71">
      <c r="A71" s="12">
        <f>IF(Artikelstamm!$A71="","",Artikelstamm!$A71)</f>
        <v/>
      </c>
      <c r="B71" s="14">
        <f>IF(Artikelstamm!$B71="","",Artikelstamm!$B71)</f>
        <v/>
      </c>
      <c r="C71" s="14">
        <f>IF(Artikelstamm!$C71="","",Artikelstamm!$C71)</f>
        <v/>
      </c>
      <c r="D71" s="12">
        <f>IF(Artikelstamm!$E71="","",Artikelstamm!$E71)</f>
        <v/>
      </c>
      <c r="E71" s="27">
        <f>SUMIF('Hauptmagazin'!$A:$A,$B71,'Hauptmagazin'!$F:$F)</f>
        <v/>
      </c>
      <c r="F71" s="27">
        <f>SUMIF('Panorama'!$A:$A,$B71,'Panorama'!$F:$F)</f>
        <v/>
      </c>
      <c r="G71" s="27">
        <f>SUMIF('Kachelofen'!$A:$A,$B71,'Kachelofen'!$F:$F)</f>
        <v/>
      </c>
      <c r="H71" s="27">
        <f>SUMIF('Gugelhupf'!$A:$A,$B71,'Gugelhupf'!$F:$F)</f>
        <v/>
      </c>
      <c r="I71" s="27">
        <f>SUMIF('Lucia'!$A:$A,$B71,'Lucia'!$F:$F)</f>
        <v/>
      </c>
      <c r="J71" s="27">
        <f>SUMIF('Bar'!$A:$A,$B71,'Bar'!$F:$F)</f>
        <v/>
      </c>
      <c r="K71" s="28">
        <f>SUM(E71:J71)</f>
        <v/>
      </c>
    </row>
    <row r="72">
      <c r="A72" s="15">
        <f>IF(Artikelstamm!$A72="","",Artikelstamm!$A72)</f>
        <v/>
      </c>
      <c r="B72" s="17">
        <f>IF(Artikelstamm!$B72="","",Artikelstamm!$B72)</f>
        <v/>
      </c>
      <c r="C72" s="17">
        <f>IF(Artikelstamm!$C72="","",Artikelstamm!$C72)</f>
        <v/>
      </c>
      <c r="D72" s="15">
        <f>IF(Artikelstamm!$E72="","",Artikelstamm!$E72)</f>
        <v/>
      </c>
      <c r="E72" s="29">
        <f>SUMIF('Hauptmagazin'!$A:$A,$B72,'Hauptmagazin'!$F:$F)</f>
        <v/>
      </c>
      <c r="F72" s="29">
        <f>SUMIF('Panorama'!$A:$A,$B72,'Panorama'!$F:$F)</f>
        <v/>
      </c>
      <c r="G72" s="29">
        <f>SUMIF('Kachelofen'!$A:$A,$B72,'Kachelofen'!$F:$F)</f>
        <v/>
      </c>
      <c r="H72" s="29">
        <f>SUMIF('Gugelhupf'!$A:$A,$B72,'Gugelhupf'!$F:$F)</f>
        <v/>
      </c>
      <c r="I72" s="29">
        <f>SUMIF('Lucia'!$A:$A,$B72,'Lucia'!$F:$F)</f>
        <v/>
      </c>
      <c r="J72" s="29">
        <f>SUMIF('Bar'!$A:$A,$B72,'Bar'!$F:$F)</f>
        <v/>
      </c>
      <c r="K72" s="30">
        <f>SUM(E72:J72)</f>
        <v/>
      </c>
    </row>
    <row r="73">
      <c r="A73" s="12">
        <f>IF(Artikelstamm!$A73="","",Artikelstamm!$A73)</f>
        <v/>
      </c>
      <c r="B73" s="14">
        <f>IF(Artikelstamm!$B73="","",Artikelstamm!$B73)</f>
        <v/>
      </c>
      <c r="C73" s="14">
        <f>IF(Artikelstamm!$C73="","",Artikelstamm!$C73)</f>
        <v/>
      </c>
      <c r="D73" s="12">
        <f>IF(Artikelstamm!$E73="","",Artikelstamm!$E73)</f>
        <v/>
      </c>
      <c r="E73" s="27">
        <f>SUMIF('Hauptmagazin'!$A:$A,$B73,'Hauptmagazin'!$F:$F)</f>
        <v/>
      </c>
      <c r="F73" s="27">
        <f>SUMIF('Panorama'!$A:$A,$B73,'Panorama'!$F:$F)</f>
        <v/>
      </c>
      <c r="G73" s="27">
        <f>SUMIF('Kachelofen'!$A:$A,$B73,'Kachelofen'!$F:$F)</f>
        <v/>
      </c>
      <c r="H73" s="27">
        <f>SUMIF('Gugelhupf'!$A:$A,$B73,'Gugelhupf'!$F:$F)</f>
        <v/>
      </c>
      <c r="I73" s="27">
        <f>SUMIF('Lucia'!$A:$A,$B73,'Lucia'!$F:$F)</f>
        <v/>
      </c>
      <c r="J73" s="27">
        <f>SUMIF('Bar'!$A:$A,$B73,'Bar'!$F:$F)</f>
        <v/>
      </c>
      <c r="K73" s="28">
        <f>SUM(E73:J73)</f>
        <v/>
      </c>
    </row>
    <row r="74">
      <c r="A74" s="15">
        <f>IF(Artikelstamm!$A74="","",Artikelstamm!$A74)</f>
        <v/>
      </c>
      <c r="B74" s="17">
        <f>IF(Artikelstamm!$B74="","",Artikelstamm!$B74)</f>
        <v/>
      </c>
      <c r="C74" s="17">
        <f>IF(Artikelstamm!$C74="","",Artikelstamm!$C74)</f>
        <v/>
      </c>
      <c r="D74" s="15">
        <f>IF(Artikelstamm!$E74="","",Artikelstamm!$E74)</f>
        <v/>
      </c>
      <c r="E74" s="29">
        <f>SUMIF('Hauptmagazin'!$A:$A,$B74,'Hauptmagazin'!$F:$F)</f>
        <v/>
      </c>
      <c r="F74" s="29">
        <f>SUMIF('Panorama'!$A:$A,$B74,'Panorama'!$F:$F)</f>
        <v/>
      </c>
      <c r="G74" s="29">
        <f>SUMIF('Kachelofen'!$A:$A,$B74,'Kachelofen'!$F:$F)</f>
        <v/>
      </c>
      <c r="H74" s="29">
        <f>SUMIF('Gugelhupf'!$A:$A,$B74,'Gugelhupf'!$F:$F)</f>
        <v/>
      </c>
      <c r="I74" s="29">
        <f>SUMIF('Lucia'!$A:$A,$B74,'Lucia'!$F:$F)</f>
        <v/>
      </c>
      <c r="J74" s="29">
        <f>SUMIF('Bar'!$A:$A,$B74,'Bar'!$F:$F)</f>
        <v/>
      </c>
      <c r="K74" s="30">
        <f>SUM(E74:J74)</f>
        <v/>
      </c>
    </row>
    <row r="75">
      <c r="A75" s="12">
        <f>IF(Artikelstamm!$A75="","",Artikelstamm!$A75)</f>
        <v/>
      </c>
      <c r="B75" s="14">
        <f>IF(Artikelstamm!$B75="","",Artikelstamm!$B75)</f>
        <v/>
      </c>
      <c r="C75" s="14">
        <f>IF(Artikelstamm!$C75="","",Artikelstamm!$C75)</f>
        <v/>
      </c>
      <c r="D75" s="12">
        <f>IF(Artikelstamm!$E75="","",Artikelstamm!$E75)</f>
        <v/>
      </c>
      <c r="E75" s="27">
        <f>SUMIF('Hauptmagazin'!$A:$A,$B75,'Hauptmagazin'!$F:$F)</f>
        <v/>
      </c>
      <c r="F75" s="27">
        <f>SUMIF('Panorama'!$A:$A,$B75,'Panorama'!$F:$F)</f>
        <v/>
      </c>
      <c r="G75" s="27">
        <f>SUMIF('Kachelofen'!$A:$A,$B75,'Kachelofen'!$F:$F)</f>
        <v/>
      </c>
      <c r="H75" s="27">
        <f>SUMIF('Gugelhupf'!$A:$A,$B75,'Gugelhupf'!$F:$F)</f>
        <v/>
      </c>
      <c r="I75" s="27">
        <f>SUMIF('Lucia'!$A:$A,$B75,'Lucia'!$F:$F)</f>
        <v/>
      </c>
      <c r="J75" s="27">
        <f>SUMIF('Bar'!$A:$A,$B75,'Bar'!$F:$F)</f>
        <v/>
      </c>
      <c r="K75" s="28">
        <f>SUM(E75:J75)</f>
        <v/>
      </c>
    </row>
    <row r="76">
      <c r="A76" s="15">
        <f>IF(Artikelstamm!$A76="","",Artikelstamm!$A76)</f>
        <v/>
      </c>
      <c r="B76" s="17">
        <f>IF(Artikelstamm!$B76="","",Artikelstamm!$B76)</f>
        <v/>
      </c>
      <c r="C76" s="17">
        <f>IF(Artikelstamm!$C76="","",Artikelstamm!$C76)</f>
        <v/>
      </c>
      <c r="D76" s="15">
        <f>IF(Artikelstamm!$E76="","",Artikelstamm!$E76)</f>
        <v/>
      </c>
      <c r="E76" s="29">
        <f>SUMIF('Hauptmagazin'!$A:$A,$B76,'Hauptmagazin'!$F:$F)</f>
        <v/>
      </c>
      <c r="F76" s="29">
        <f>SUMIF('Panorama'!$A:$A,$B76,'Panorama'!$F:$F)</f>
        <v/>
      </c>
      <c r="G76" s="29">
        <f>SUMIF('Kachelofen'!$A:$A,$B76,'Kachelofen'!$F:$F)</f>
        <v/>
      </c>
      <c r="H76" s="29">
        <f>SUMIF('Gugelhupf'!$A:$A,$B76,'Gugelhupf'!$F:$F)</f>
        <v/>
      </c>
      <c r="I76" s="29">
        <f>SUMIF('Lucia'!$A:$A,$B76,'Lucia'!$F:$F)</f>
        <v/>
      </c>
      <c r="J76" s="29">
        <f>SUMIF('Bar'!$A:$A,$B76,'Bar'!$F:$F)</f>
        <v/>
      </c>
      <c r="K76" s="30">
        <f>SUM(E76:J76)</f>
        <v/>
      </c>
    </row>
    <row r="77">
      <c r="A77" s="12">
        <f>IF(Artikelstamm!$A77="","",Artikelstamm!$A77)</f>
        <v/>
      </c>
      <c r="B77" s="14">
        <f>IF(Artikelstamm!$B77="","",Artikelstamm!$B77)</f>
        <v/>
      </c>
      <c r="C77" s="14">
        <f>IF(Artikelstamm!$C77="","",Artikelstamm!$C77)</f>
        <v/>
      </c>
      <c r="D77" s="12">
        <f>IF(Artikelstamm!$E77="","",Artikelstamm!$E77)</f>
        <v/>
      </c>
      <c r="E77" s="27">
        <f>SUMIF('Hauptmagazin'!$A:$A,$B77,'Hauptmagazin'!$F:$F)</f>
        <v/>
      </c>
      <c r="F77" s="27">
        <f>SUMIF('Panorama'!$A:$A,$B77,'Panorama'!$F:$F)</f>
        <v/>
      </c>
      <c r="G77" s="27">
        <f>SUMIF('Kachelofen'!$A:$A,$B77,'Kachelofen'!$F:$F)</f>
        <v/>
      </c>
      <c r="H77" s="27">
        <f>SUMIF('Gugelhupf'!$A:$A,$B77,'Gugelhupf'!$F:$F)</f>
        <v/>
      </c>
      <c r="I77" s="27">
        <f>SUMIF('Lucia'!$A:$A,$B77,'Lucia'!$F:$F)</f>
        <v/>
      </c>
      <c r="J77" s="27">
        <f>SUMIF('Bar'!$A:$A,$B77,'Bar'!$F:$F)</f>
        <v/>
      </c>
      <c r="K77" s="28">
        <f>SUM(E77:J77)</f>
        <v/>
      </c>
    </row>
    <row r="78">
      <c r="A78" s="15">
        <f>IF(Artikelstamm!$A78="","",Artikelstamm!$A78)</f>
        <v/>
      </c>
      <c r="B78" s="17">
        <f>IF(Artikelstamm!$B78="","",Artikelstamm!$B78)</f>
        <v/>
      </c>
      <c r="C78" s="17">
        <f>IF(Artikelstamm!$C78="","",Artikelstamm!$C78)</f>
        <v/>
      </c>
      <c r="D78" s="15">
        <f>IF(Artikelstamm!$E78="","",Artikelstamm!$E78)</f>
        <v/>
      </c>
      <c r="E78" s="29">
        <f>SUMIF('Hauptmagazin'!$A:$A,$B78,'Hauptmagazin'!$F:$F)</f>
        <v/>
      </c>
      <c r="F78" s="29">
        <f>SUMIF('Panorama'!$A:$A,$B78,'Panorama'!$F:$F)</f>
        <v/>
      </c>
      <c r="G78" s="29">
        <f>SUMIF('Kachelofen'!$A:$A,$B78,'Kachelofen'!$F:$F)</f>
        <v/>
      </c>
      <c r="H78" s="29">
        <f>SUMIF('Gugelhupf'!$A:$A,$B78,'Gugelhupf'!$F:$F)</f>
        <v/>
      </c>
      <c r="I78" s="29">
        <f>SUMIF('Lucia'!$A:$A,$B78,'Lucia'!$F:$F)</f>
        <v/>
      </c>
      <c r="J78" s="29">
        <f>SUMIF('Bar'!$A:$A,$B78,'Bar'!$F:$F)</f>
        <v/>
      </c>
      <c r="K78" s="30">
        <f>SUM(E78:J78)</f>
        <v/>
      </c>
    </row>
    <row r="79">
      <c r="A79" s="12">
        <f>IF(Artikelstamm!$A79="","",Artikelstamm!$A79)</f>
        <v/>
      </c>
      <c r="B79" s="14">
        <f>IF(Artikelstamm!$B79="","",Artikelstamm!$B79)</f>
        <v/>
      </c>
      <c r="C79" s="14">
        <f>IF(Artikelstamm!$C79="","",Artikelstamm!$C79)</f>
        <v/>
      </c>
      <c r="D79" s="12">
        <f>IF(Artikelstamm!$E79="","",Artikelstamm!$E79)</f>
        <v/>
      </c>
      <c r="E79" s="27">
        <f>SUMIF('Hauptmagazin'!$A:$A,$B79,'Hauptmagazin'!$F:$F)</f>
        <v/>
      </c>
      <c r="F79" s="27">
        <f>SUMIF('Panorama'!$A:$A,$B79,'Panorama'!$F:$F)</f>
        <v/>
      </c>
      <c r="G79" s="27">
        <f>SUMIF('Kachelofen'!$A:$A,$B79,'Kachelofen'!$F:$F)</f>
        <v/>
      </c>
      <c r="H79" s="27">
        <f>SUMIF('Gugelhupf'!$A:$A,$B79,'Gugelhupf'!$F:$F)</f>
        <v/>
      </c>
      <c r="I79" s="27">
        <f>SUMIF('Lucia'!$A:$A,$B79,'Lucia'!$F:$F)</f>
        <v/>
      </c>
      <c r="J79" s="27">
        <f>SUMIF('Bar'!$A:$A,$B79,'Bar'!$F:$F)</f>
        <v/>
      </c>
      <c r="K79" s="28">
        <f>SUM(E79:J79)</f>
        <v/>
      </c>
    </row>
    <row r="80">
      <c r="A80" s="15">
        <f>IF(Artikelstamm!$A80="","",Artikelstamm!$A80)</f>
        <v/>
      </c>
      <c r="B80" s="17">
        <f>IF(Artikelstamm!$B80="","",Artikelstamm!$B80)</f>
        <v/>
      </c>
      <c r="C80" s="17">
        <f>IF(Artikelstamm!$C80="","",Artikelstamm!$C80)</f>
        <v/>
      </c>
      <c r="D80" s="15">
        <f>IF(Artikelstamm!$E80="","",Artikelstamm!$E80)</f>
        <v/>
      </c>
      <c r="E80" s="29">
        <f>SUMIF('Hauptmagazin'!$A:$A,$B80,'Hauptmagazin'!$F:$F)</f>
        <v/>
      </c>
      <c r="F80" s="29">
        <f>SUMIF('Panorama'!$A:$A,$B80,'Panorama'!$F:$F)</f>
        <v/>
      </c>
      <c r="G80" s="29">
        <f>SUMIF('Kachelofen'!$A:$A,$B80,'Kachelofen'!$F:$F)</f>
        <v/>
      </c>
      <c r="H80" s="29">
        <f>SUMIF('Gugelhupf'!$A:$A,$B80,'Gugelhupf'!$F:$F)</f>
        <v/>
      </c>
      <c r="I80" s="29">
        <f>SUMIF('Lucia'!$A:$A,$B80,'Lucia'!$F:$F)</f>
        <v/>
      </c>
      <c r="J80" s="29">
        <f>SUMIF('Bar'!$A:$A,$B80,'Bar'!$F:$F)</f>
        <v/>
      </c>
      <c r="K80" s="30">
        <f>SUM(E80:J80)</f>
        <v/>
      </c>
    </row>
    <row r="81">
      <c r="A81" s="12">
        <f>IF(Artikelstamm!$A81="","",Artikelstamm!$A81)</f>
        <v/>
      </c>
      <c r="B81" s="14">
        <f>IF(Artikelstamm!$B81="","",Artikelstamm!$B81)</f>
        <v/>
      </c>
      <c r="C81" s="14">
        <f>IF(Artikelstamm!$C81="","",Artikelstamm!$C81)</f>
        <v/>
      </c>
      <c r="D81" s="12">
        <f>IF(Artikelstamm!$E81="","",Artikelstamm!$E81)</f>
        <v/>
      </c>
      <c r="E81" s="27">
        <f>SUMIF('Hauptmagazin'!$A:$A,$B81,'Hauptmagazin'!$F:$F)</f>
        <v/>
      </c>
      <c r="F81" s="27">
        <f>SUMIF('Panorama'!$A:$A,$B81,'Panorama'!$F:$F)</f>
        <v/>
      </c>
      <c r="G81" s="27">
        <f>SUMIF('Kachelofen'!$A:$A,$B81,'Kachelofen'!$F:$F)</f>
        <v/>
      </c>
      <c r="H81" s="27">
        <f>SUMIF('Gugelhupf'!$A:$A,$B81,'Gugelhupf'!$F:$F)</f>
        <v/>
      </c>
      <c r="I81" s="27">
        <f>SUMIF('Lucia'!$A:$A,$B81,'Lucia'!$F:$F)</f>
        <v/>
      </c>
      <c r="J81" s="27">
        <f>SUMIF('Bar'!$A:$A,$B81,'Bar'!$F:$F)</f>
        <v/>
      </c>
      <c r="K81" s="28">
        <f>SUM(E81:J81)</f>
        <v/>
      </c>
    </row>
    <row r="82">
      <c r="A82" s="15">
        <f>IF(Artikelstamm!$A82="","",Artikelstamm!$A82)</f>
        <v/>
      </c>
      <c r="B82" s="17">
        <f>IF(Artikelstamm!$B82="","",Artikelstamm!$B82)</f>
        <v/>
      </c>
      <c r="C82" s="17">
        <f>IF(Artikelstamm!$C82="","",Artikelstamm!$C82)</f>
        <v/>
      </c>
      <c r="D82" s="15">
        <f>IF(Artikelstamm!$E82="","",Artikelstamm!$E82)</f>
        <v/>
      </c>
      <c r="E82" s="29">
        <f>SUMIF('Hauptmagazin'!$A:$A,$B82,'Hauptmagazin'!$F:$F)</f>
        <v/>
      </c>
      <c r="F82" s="29">
        <f>SUMIF('Panorama'!$A:$A,$B82,'Panorama'!$F:$F)</f>
        <v/>
      </c>
      <c r="G82" s="29">
        <f>SUMIF('Kachelofen'!$A:$A,$B82,'Kachelofen'!$F:$F)</f>
        <v/>
      </c>
      <c r="H82" s="29">
        <f>SUMIF('Gugelhupf'!$A:$A,$B82,'Gugelhupf'!$F:$F)</f>
        <v/>
      </c>
      <c r="I82" s="29">
        <f>SUMIF('Lucia'!$A:$A,$B82,'Lucia'!$F:$F)</f>
        <v/>
      </c>
      <c r="J82" s="29">
        <f>SUMIF('Bar'!$A:$A,$B82,'Bar'!$F:$F)</f>
        <v/>
      </c>
      <c r="K82" s="30">
        <f>SUM(E82:J82)</f>
        <v/>
      </c>
    </row>
    <row r="83">
      <c r="A83" s="12">
        <f>IF(Artikelstamm!$A83="","",Artikelstamm!$A83)</f>
        <v/>
      </c>
      <c r="B83" s="14">
        <f>IF(Artikelstamm!$B83="","",Artikelstamm!$B83)</f>
        <v/>
      </c>
      <c r="C83" s="14">
        <f>IF(Artikelstamm!$C83="","",Artikelstamm!$C83)</f>
        <v/>
      </c>
      <c r="D83" s="12">
        <f>IF(Artikelstamm!$E83="","",Artikelstamm!$E83)</f>
        <v/>
      </c>
      <c r="E83" s="27">
        <f>SUMIF('Hauptmagazin'!$A:$A,$B83,'Hauptmagazin'!$F:$F)</f>
        <v/>
      </c>
      <c r="F83" s="27">
        <f>SUMIF('Panorama'!$A:$A,$B83,'Panorama'!$F:$F)</f>
        <v/>
      </c>
      <c r="G83" s="27">
        <f>SUMIF('Kachelofen'!$A:$A,$B83,'Kachelofen'!$F:$F)</f>
        <v/>
      </c>
      <c r="H83" s="27">
        <f>SUMIF('Gugelhupf'!$A:$A,$B83,'Gugelhupf'!$F:$F)</f>
        <v/>
      </c>
      <c r="I83" s="27">
        <f>SUMIF('Lucia'!$A:$A,$B83,'Lucia'!$F:$F)</f>
        <v/>
      </c>
      <c r="J83" s="27">
        <f>SUMIF('Bar'!$A:$A,$B83,'Bar'!$F:$F)</f>
        <v/>
      </c>
      <c r="K83" s="28">
        <f>SUM(E83:J83)</f>
        <v/>
      </c>
    </row>
    <row r="84">
      <c r="A84" s="15">
        <f>IF(Artikelstamm!$A84="","",Artikelstamm!$A84)</f>
        <v/>
      </c>
      <c r="B84" s="17">
        <f>IF(Artikelstamm!$B84="","",Artikelstamm!$B84)</f>
        <v/>
      </c>
      <c r="C84" s="17">
        <f>IF(Artikelstamm!$C84="","",Artikelstamm!$C84)</f>
        <v/>
      </c>
      <c r="D84" s="15">
        <f>IF(Artikelstamm!$E84="","",Artikelstamm!$E84)</f>
        <v/>
      </c>
      <c r="E84" s="29">
        <f>SUMIF('Hauptmagazin'!$A:$A,$B84,'Hauptmagazin'!$F:$F)</f>
        <v/>
      </c>
      <c r="F84" s="29">
        <f>SUMIF('Panorama'!$A:$A,$B84,'Panorama'!$F:$F)</f>
        <v/>
      </c>
      <c r="G84" s="29">
        <f>SUMIF('Kachelofen'!$A:$A,$B84,'Kachelofen'!$F:$F)</f>
        <v/>
      </c>
      <c r="H84" s="29">
        <f>SUMIF('Gugelhupf'!$A:$A,$B84,'Gugelhupf'!$F:$F)</f>
        <v/>
      </c>
      <c r="I84" s="29">
        <f>SUMIF('Lucia'!$A:$A,$B84,'Lucia'!$F:$F)</f>
        <v/>
      </c>
      <c r="J84" s="29">
        <f>SUMIF('Bar'!$A:$A,$B84,'Bar'!$F:$F)</f>
        <v/>
      </c>
      <c r="K84" s="30">
        <f>SUM(E84:J84)</f>
        <v/>
      </c>
    </row>
    <row r="85">
      <c r="A85" s="12">
        <f>IF(Artikelstamm!$A85="","",Artikelstamm!$A85)</f>
        <v/>
      </c>
      <c r="B85" s="14">
        <f>IF(Artikelstamm!$B85="","",Artikelstamm!$B85)</f>
        <v/>
      </c>
      <c r="C85" s="14">
        <f>IF(Artikelstamm!$C85="","",Artikelstamm!$C85)</f>
        <v/>
      </c>
      <c r="D85" s="12">
        <f>IF(Artikelstamm!$E85="","",Artikelstamm!$E85)</f>
        <v/>
      </c>
      <c r="E85" s="27">
        <f>SUMIF('Hauptmagazin'!$A:$A,$B85,'Hauptmagazin'!$F:$F)</f>
        <v/>
      </c>
      <c r="F85" s="27">
        <f>SUMIF('Panorama'!$A:$A,$B85,'Panorama'!$F:$F)</f>
        <v/>
      </c>
      <c r="G85" s="27">
        <f>SUMIF('Kachelofen'!$A:$A,$B85,'Kachelofen'!$F:$F)</f>
        <v/>
      </c>
      <c r="H85" s="27">
        <f>SUMIF('Gugelhupf'!$A:$A,$B85,'Gugelhupf'!$F:$F)</f>
        <v/>
      </c>
      <c r="I85" s="27">
        <f>SUMIF('Lucia'!$A:$A,$B85,'Lucia'!$F:$F)</f>
        <v/>
      </c>
      <c r="J85" s="27">
        <f>SUMIF('Bar'!$A:$A,$B85,'Bar'!$F:$F)</f>
        <v/>
      </c>
      <c r="K85" s="28">
        <f>SUM(E85:J85)</f>
        <v/>
      </c>
    </row>
    <row r="86">
      <c r="A86" s="15">
        <f>IF(Artikelstamm!$A86="","",Artikelstamm!$A86)</f>
        <v/>
      </c>
      <c r="B86" s="17">
        <f>IF(Artikelstamm!$B86="","",Artikelstamm!$B86)</f>
        <v/>
      </c>
      <c r="C86" s="17">
        <f>IF(Artikelstamm!$C86="","",Artikelstamm!$C86)</f>
        <v/>
      </c>
      <c r="D86" s="15">
        <f>IF(Artikelstamm!$E86="","",Artikelstamm!$E86)</f>
        <v/>
      </c>
      <c r="E86" s="29">
        <f>SUMIF('Hauptmagazin'!$A:$A,$B86,'Hauptmagazin'!$F:$F)</f>
        <v/>
      </c>
      <c r="F86" s="29">
        <f>SUMIF('Panorama'!$A:$A,$B86,'Panorama'!$F:$F)</f>
        <v/>
      </c>
      <c r="G86" s="29">
        <f>SUMIF('Kachelofen'!$A:$A,$B86,'Kachelofen'!$F:$F)</f>
        <v/>
      </c>
      <c r="H86" s="29">
        <f>SUMIF('Gugelhupf'!$A:$A,$B86,'Gugelhupf'!$F:$F)</f>
        <v/>
      </c>
      <c r="I86" s="29">
        <f>SUMIF('Lucia'!$A:$A,$B86,'Lucia'!$F:$F)</f>
        <v/>
      </c>
      <c r="J86" s="29">
        <f>SUMIF('Bar'!$A:$A,$B86,'Bar'!$F:$F)</f>
        <v/>
      </c>
      <c r="K86" s="30">
        <f>SUM(E86:J86)</f>
        <v/>
      </c>
    </row>
    <row r="87">
      <c r="A87" s="12">
        <f>IF(Artikelstamm!$A87="","",Artikelstamm!$A87)</f>
        <v/>
      </c>
      <c r="B87" s="14">
        <f>IF(Artikelstamm!$B87="","",Artikelstamm!$B87)</f>
        <v/>
      </c>
      <c r="C87" s="14">
        <f>IF(Artikelstamm!$C87="","",Artikelstamm!$C87)</f>
        <v/>
      </c>
      <c r="D87" s="12">
        <f>IF(Artikelstamm!$E87="","",Artikelstamm!$E87)</f>
        <v/>
      </c>
      <c r="E87" s="27">
        <f>SUMIF('Hauptmagazin'!$A:$A,$B87,'Hauptmagazin'!$F:$F)</f>
        <v/>
      </c>
      <c r="F87" s="27">
        <f>SUMIF('Panorama'!$A:$A,$B87,'Panorama'!$F:$F)</f>
        <v/>
      </c>
      <c r="G87" s="27">
        <f>SUMIF('Kachelofen'!$A:$A,$B87,'Kachelofen'!$F:$F)</f>
        <v/>
      </c>
      <c r="H87" s="27">
        <f>SUMIF('Gugelhupf'!$A:$A,$B87,'Gugelhupf'!$F:$F)</f>
        <v/>
      </c>
      <c r="I87" s="27">
        <f>SUMIF('Lucia'!$A:$A,$B87,'Lucia'!$F:$F)</f>
        <v/>
      </c>
      <c r="J87" s="27">
        <f>SUMIF('Bar'!$A:$A,$B87,'Bar'!$F:$F)</f>
        <v/>
      </c>
      <c r="K87" s="28">
        <f>SUM(E87:J87)</f>
        <v/>
      </c>
    </row>
    <row r="88">
      <c r="A88" s="15">
        <f>IF(Artikelstamm!$A88="","",Artikelstamm!$A88)</f>
        <v/>
      </c>
      <c r="B88" s="17">
        <f>IF(Artikelstamm!$B88="","",Artikelstamm!$B88)</f>
        <v/>
      </c>
      <c r="C88" s="17">
        <f>IF(Artikelstamm!$C88="","",Artikelstamm!$C88)</f>
        <v/>
      </c>
      <c r="D88" s="15">
        <f>IF(Artikelstamm!$E88="","",Artikelstamm!$E88)</f>
        <v/>
      </c>
      <c r="E88" s="29">
        <f>SUMIF('Hauptmagazin'!$A:$A,$B88,'Hauptmagazin'!$F:$F)</f>
        <v/>
      </c>
      <c r="F88" s="29">
        <f>SUMIF('Panorama'!$A:$A,$B88,'Panorama'!$F:$F)</f>
        <v/>
      </c>
      <c r="G88" s="29">
        <f>SUMIF('Kachelofen'!$A:$A,$B88,'Kachelofen'!$F:$F)</f>
        <v/>
      </c>
      <c r="H88" s="29">
        <f>SUMIF('Gugelhupf'!$A:$A,$B88,'Gugelhupf'!$F:$F)</f>
        <v/>
      </c>
      <c r="I88" s="29">
        <f>SUMIF('Lucia'!$A:$A,$B88,'Lucia'!$F:$F)</f>
        <v/>
      </c>
      <c r="J88" s="29">
        <f>SUMIF('Bar'!$A:$A,$B88,'Bar'!$F:$F)</f>
        <v/>
      </c>
      <c r="K88" s="30">
        <f>SUM(E88:J88)</f>
        <v/>
      </c>
    </row>
    <row r="89">
      <c r="A89" s="12">
        <f>IF(Artikelstamm!$A89="","",Artikelstamm!$A89)</f>
        <v/>
      </c>
      <c r="B89" s="14">
        <f>IF(Artikelstamm!$B89="","",Artikelstamm!$B89)</f>
        <v/>
      </c>
      <c r="C89" s="14">
        <f>IF(Artikelstamm!$C89="","",Artikelstamm!$C89)</f>
        <v/>
      </c>
      <c r="D89" s="12">
        <f>IF(Artikelstamm!$E89="","",Artikelstamm!$E89)</f>
        <v/>
      </c>
      <c r="E89" s="27">
        <f>SUMIF('Hauptmagazin'!$A:$A,$B89,'Hauptmagazin'!$F:$F)</f>
        <v/>
      </c>
      <c r="F89" s="27">
        <f>SUMIF('Panorama'!$A:$A,$B89,'Panorama'!$F:$F)</f>
        <v/>
      </c>
      <c r="G89" s="27">
        <f>SUMIF('Kachelofen'!$A:$A,$B89,'Kachelofen'!$F:$F)</f>
        <v/>
      </c>
      <c r="H89" s="27">
        <f>SUMIF('Gugelhupf'!$A:$A,$B89,'Gugelhupf'!$F:$F)</f>
        <v/>
      </c>
      <c r="I89" s="27">
        <f>SUMIF('Lucia'!$A:$A,$B89,'Lucia'!$F:$F)</f>
        <v/>
      </c>
      <c r="J89" s="27">
        <f>SUMIF('Bar'!$A:$A,$B89,'Bar'!$F:$F)</f>
        <v/>
      </c>
      <c r="K89" s="28">
        <f>SUM(E89:J89)</f>
        <v/>
      </c>
    </row>
    <row r="90">
      <c r="A90" s="15">
        <f>IF(Artikelstamm!$A90="","",Artikelstamm!$A90)</f>
        <v/>
      </c>
      <c r="B90" s="17">
        <f>IF(Artikelstamm!$B90="","",Artikelstamm!$B90)</f>
        <v/>
      </c>
      <c r="C90" s="17">
        <f>IF(Artikelstamm!$C90="","",Artikelstamm!$C90)</f>
        <v/>
      </c>
      <c r="D90" s="15">
        <f>IF(Artikelstamm!$E90="","",Artikelstamm!$E90)</f>
        <v/>
      </c>
      <c r="E90" s="29">
        <f>SUMIF('Hauptmagazin'!$A:$A,$B90,'Hauptmagazin'!$F:$F)</f>
        <v/>
      </c>
      <c r="F90" s="29">
        <f>SUMIF('Panorama'!$A:$A,$B90,'Panorama'!$F:$F)</f>
        <v/>
      </c>
      <c r="G90" s="29">
        <f>SUMIF('Kachelofen'!$A:$A,$B90,'Kachelofen'!$F:$F)</f>
        <v/>
      </c>
      <c r="H90" s="29">
        <f>SUMIF('Gugelhupf'!$A:$A,$B90,'Gugelhupf'!$F:$F)</f>
        <v/>
      </c>
      <c r="I90" s="29">
        <f>SUMIF('Lucia'!$A:$A,$B90,'Lucia'!$F:$F)</f>
        <v/>
      </c>
      <c r="J90" s="29">
        <f>SUMIF('Bar'!$A:$A,$B90,'Bar'!$F:$F)</f>
        <v/>
      </c>
      <c r="K90" s="30">
        <f>SUM(E90:J90)</f>
        <v/>
      </c>
    </row>
    <row r="91">
      <c r="A91" s="12">
        <f>IF(Artikelstamm!$A91="","",Artikelstamm!$A91)</f>
        <v/>
      </c>
      <c r="B91" s="14">
        <f>IF(Artikelstamm!$B91="","",Artikelstamm!$B91)</f>
        <v/>
      </c>
      <c r="C91" s="14">
        <f>IF(Artikelstamm!$C91="","",Artikelstamm!$C91)</f>
        <v/>
      </c>
      <c r="D91" s="12">
        <f>IF(Artikelstamm!$E91="","",Artikelstamm!$E91)</f>
        <v/>
      </c>
      <c r="E91" s="27">
        <f>SUMIF('Hauptmagazin'!$A:$A,$B91,'Hauptmagazin'!$F:$F)</f>
        <v/>
      </c>
      <c r="F91" s="27">
        <f>SUMIF('Panorama'!$A:$A,$B91,'Panorama'!$F:$F)</f>
        <v/>
      </c>
      <c r="G91" s="27">
        <f>SUMIF('Kachelofen'!$A:$A,$B91,'Kachelofen'!$F:$F)</f>
        <v/>
      </c>
      <c r="H91" s="27">
        <f>SUMIF('Gugelhupf'!$A:$A,$B91,'Gugelhupf'!$F:$F)</f>
        <v/>
      </c>
      <c r="I91" s="27">
        <f>SUMIF('Lucia'!$A:$A,$B91,'Lucia'!$F:$F)</f>
        <v/>
      </c>
      <c r="J91" s="27">
        <f>SUMIF('Bar'!$A:$A,$B91,'Bar'!$F:$F)</f>
        <v/>
      </c>
      <c r="K91" s="28">
        <f>SUM(E91:J91)</f>
        <v/>
      </c>
    </row>
    <row r="92">
      <c r="A92" s="15">
        <f>IF(Artikelstamm!$A92="","",Artikelstamm!$A92)</f>
        <v/>
      </c>
      <c r="B92" s="17">
        <f>IF(Artikelstamm!$B92="","",Artikelstamm!$B92)</f>
        <v/>
      </c>
      <c r="C92" s="17">
        <f>IF(Artikelstamm!$C92="","",Artikelstamm!$C92)</f>
        <v/>
      </c>
      <c r="D92" s="15">
        <f>IF(Artikelstamm!$E92="","",Artikelstamm!$E92)</f>
        <v/>
      </c>
      <c r="E92" s="29">
        <f>SUMIF('Hauptmagazin'!$A:$A,$B92,'Hauptmagazin'!$F:$F)</f>
        <v/>
      </c>
      <c r="F92" s="29">
        <f>SUMIF('Panorama'!$A:$A,$B92,'Panorama'!$F:$F)</f>
        <v/>
      </c>
      <c r="G92" s="29">
        <f>SUMIF('Kachelofen'!$A:$A,$B92,'Kachelofen'!$F:$F)</f>
        <v/>
      </c>
      <c r="H92" s="29">
        <f>SUMIF('Gugelhupf'!$A:$A,$B92,'Gugelhupf'!$F:$F)</f>
        <v/>
      </c>
      <c r="I92" s="29">
        <f>SUMIF('Lucia'!$A:$A,$B92,'Lucia'!$F:$F)</f>
        <v/>
      </c>
      <c r="J92" s="29">
        <f>SUMIF('Bar'!$A:$A,$B92,'Bar'!$F:$F)</f>
        <v/>
      </c>
      <c r="K92" s="30">
        <f>SUM(E92:J92)</f>
        <v/>
      </c>
    </row>
    <row r="93">
      <c r="A93" s="12">
        <f>IF(Artikelstamm!$A93="","",Artikelstamm!$A93)</f>
        <v/>
      </c>
      <c r="B93" s="14">
        <f>IF(Artikelstamm!$B93="","",Artikelstamm!$B93)</f>
        <v/>
      </c>
      <c r="C93" s="14">
        <f>IF(Artikelstamm!$C93="","",Artikelstamm!$C93)</f>
        <v/>
      </c>
      <c r="D93" s="12">
        <f>IF(Artikelstamm!$E93="","",Artikelstamm!$E93)</f>
        <v/>
      </c>
      <c r="E93" s="27">
        <f>SUMIF('Hauptmagazin'!$A:$A,$B93,'Hauptmagazin'!$F:$F)</f>
        <v/>
      </c>
      <c r="F93" s="27">
        <f>SUMIF('Panorama'!$A:$A,$B93,'Panorama'!$F:$F)</f>
        <v/>
      </c>
      <c r="G93" s="27">
        <f>SUMIF('Kachelofen'!$A:$A,$B93,'Kachelofen'!$F:$F)</f>
        <v/>
      </c>
      <c r="H93" s="27">
        <f>SUMIF('Gugelhupf'!$A:$A,$B93,'Gugelhupf'!$F:$F)</f>
        <v/>
      </c>
      <c r="I93" s="27">
        <f>SUMIF('Lucia'!$A:$A,$B93,'Lucia'!$F:$F)</f>
        <v/>
      </c>
      <c r="J93" s="27">
        <f>SUMIF('Bar'!$A:$A,$B93,'Bar'!$F:$F)</f>
        <v/>
      </c>
      <c r="K93" s="28">
        <f>SUM(E93:J93)</f>
        <v/>
      </c>
    </row>
    <row r="94">
      <c r="A94" s="15">
        <f>IF(Artikelstamm!$A94="","",Artikelstamm!$A94)</f>
        <v/>
      </c>
      <c r="B94" s="17">
        <f>IF(Artikelstamm!$B94="","",Artikelstamm!$B94)</f>
        <v/>
      </c>
      <c r="C94" s="17">
        <f>IF(Artikelstamm!$C94="","",Artikelstamm!$C94)</f>
        <v/>
      </c>
      <c r="D94" s="15">
        <f>IF(Artikelstamm!$E94="","",Artikelstamm!$E94)</f>
        <v/>
      </c>
      <c r="E94" s="29">
        <f>SUMIF('Hauptmagazin'!$A:$A,$B94,'Hauptmagazin'!$F:$F)</f>
        <v/>
      </c>
      <c r="F94" s="29">
        <f>SUMIF('Panorama'!$A:$A,$B94,'Panorama'!$F:$F)</f>
        <v/>
      </c>
      <c r="G94" s="29">
        <f>SUMIF('Kachelofen'!$A:$A,$B94,'Kachelofen'!$F:$F)</f>
        <v/>
      </c>
      <c r="H94" s="29">
        <f>SUMIF('Gugelhupf'!$A:$A,$B94,'Gugelhupf'!$F:$F)</f>
        <v/>
      </c>
      <c r="I94" s="29">
        <f>SUMIF('Lucia'!$A:$A,$B94,'Lucia'!$F:$F)</f>
        <v/>
      </c>
      <c r="J94" s="29">
        <f>SUMIF('Bar'!$A:$A,$B94,'Bar'!$F:$F)</f>
        <v/>
      </c>
      <c r="K94" s="30">
        <f>SUM(E94:J94)</f>
        <v/>
      </c>
    </row>
    <row r="95">
      <c r="A95" s="12">
        <f>IF(Artikelstamm!$A95="","",Artikelstamm!$A95)</f>
        <v/>
      </c>
      <c r="B95" s="14">
        <f>IF(Artikelstamm!$B95="","",Artikelstamm!$B95)</f>
        <v/>
      </c>
      <c r="C95" s="14">
        <f>IF(Artikelstamm!$C95="","",Artikelstamm!$C95)</f>
        <v/>
      </c>
      <c r="D95" s="12">
        <f>IF(Artikelstamm!$E95="","",Artikelstamm!$E95)</f>
        <v/>
      </c>
      <c r="E95" s="27">
        <f>SUMIF('Hauptmagazin'!$A:$A,$B95,'Hauptmagazin'!$F:$F)</f>
        <v/>
      </c>
      <c r="F95" s="27">
        <f>SUMIF('Panorama'!$A:$A,$B95,'Panorama'!$F:$F)</f>
        <v/>
      </c>
      <c r="G95" s="27">
        <f>SUMIF('Kachelofen'!$A:$A,$B95,'Kachelofen'!$F:$F)</f>
        <v/>
      </c>
      <c r="H95" s="27">
        <f>SUMIF('Gugelhupf'!$A:$A,$B95,'Gugelhupf'!$F:$F)</f>
        <v/>
      </c>
      <c r="I95" s="27">
        <f>SUMIF('Lucia'!$A:$A,$B95,'Lucia'!$F:$F)</f>
        <v/>
      </c>
      <c r="J95" s="27">
        <f>SUMIF('Bar'!$A:$A,$B95,'Bar'!$F:$F)</f>
        <v/>
      </c>
      <c r="K95" s="28">
        <f>SUM(E95:J95)</f>
        <v/>
      </c>
    </row>
    <row r="96">
      <c r="A96" s="15">
        <f>IF(Artikelstamm!$A96="","",Artikelstamm!$A96)</f>
        <v/>
      </c>
      <c r="B96" s="17">
        <f>IF(Artikelstamm!$B96="","",Artikelstamm!$B96)</f>
        <v/>
      </c>
      <c r="C96" s="17">
        <f>IF(Artikelstamm!$C96="","",Artikelstamm!$C96)</f>
        <v/>
      </c>
      <c r="D96" s="15">
        <f>IF(Artikelstamm!$E96="","",Artikelstamm!$E96)</f>
        <v/>
      </c>
      <c r="E96" s="29">
        <f>SUMIF('Hauptmagazin'!$A:$A,$B96,'Hauptmagazin'!$F:$F)</f>
        <v/>
      </c>
      <c r="F96" s="29">
        <f>SUMIF('Panorama'!$A:$A,$B96,'Panorama'!$F:$F)</f>
        <v/>
      </c>
      <c r="G96" s="29">
        <f>SUMIF('Kachelofen'!$A:$A,$B96,'Kachelofen'!$F:$F)</f>
        <v/>
      </c>
      <c r="H96" s="29">
        <f>SUMIF('Gugelhupf'!$A:$A,$B96,'Gugelhupf'!$F:$F)</f>
        <v/>
      </c>
      <c r="I96" s="29">
        <f>SUMIF('Lucia'!$A:$A,$B96,'Lucia'!$F:$F)</f>
        <v/>
      </c>
      <c r="J96" s="29">
        <f>SUMIF('Bar'!$A:$A,$B96,'Bar'!$F:$F)</f>
        <v/>
      </c>
      <c r="K96" s="30">
        <f>SUM(E96:J96)</f>
        <v/>
      </c>
    </row>
    <row r="97">
      <c r="A97" s="12">
        <f>IF(Artikelstamm!$A97="","",Artikelstamm!$A97)</f>
        <v/>
      </c>
      <c r="B97" s="14">
        <f>IF(Artikelstamm!$B97="","",Artikelstamm!$B97)</f>
        <v/>
      </c>
      <c r="C97" s="14">
        <f>IF(Artikelstamm!$C97="","",Artikelstamm!$C97)</f>
        <v/>
      </c>
      <c r="D97" s="12">
        <f>IF(Artikelstamm!$E97="","",Artikelstamm!$E97)</f>
        <v/>
      </c>
      <c r="E97" s="27">
        <f>SUMIF('Hauptmagazin'!$A:$A,$B97,'Hauptmagazin'!$F:$F)</f>
        <v/>
      </c>
      <c r="F97" s="27">
        <f>SUMIF('Panorama'!$A:$A,$B97,'Panorama'!$F:$F)</f>
        <v/>
      </c>
      <c r="G97" s="27">
        <f>SUMIF('Kachelofen'!$A:$A,$B97,'Kachelofen'!$F:$F)</f>
        <v/>
      </c>
      <c r="H97" s="27">
        <f>SUMIF('Gugelhupf'!$A:$A,$B97,'Gugelhupf'!$F:$F)</f>
        <v/>
      </c>
      <c r="I97" s="27">
        <f>SUMIF('Lucia'!$A:$A,$B97,'Lucia'!$F:$F)</f>
        <v/>
      </c>
      <c r="J97" s="27">
        <f>SUMIF('Bar'!$A:$A,$B97,'Bar'!$F:$F)</f>
        <v/>
      </c>
      <c r="K97" s="28">
        <f>SUM(E97:J97)</f>
        <v/>
      </c>
    </row>
    <row r="98">
      <c r="A98" s="15">
        <f>IF(Artikelstamm!$A98="","",Artikelstamm!$A98)</f>
        <v/>
      </c>
      <c r="B98" s="17">
        <f>IF(Artikelstamm!$B98="","",Artikelstamm!$B98)</f>
        <v/>
      </c>
      <c r="C98" s="17">
        <f>IF(Artikelstamm!$C98="","",Artikelstamm!$C98)</f>
        <v/>
      </c>
      <c r="D98" s="15">
        <f>IF(Artikelstamm!$E98="","",Artikelstamm!$E98)</f>
        <v/>
      </c>
      <c r="E98" s="29">
        <f>SUMIF('Hauptmagazin'!$A:$A,$B98,'Hauptmagazin'!$F:$F)</f>
        <v/>
      </c>
      <c r="F98" s="29">
        <f>SUMIF('Panorama'!$A:$A,$B98,'Panorama'!$F:$F)</f>
        <v/>
      </c>
      <c r="G98" s="29">
        <f>SUMIF('Kachelofen'!$A:$A,$B98,'Kachelofen'!$F:$F)</f>
        <v/>
      </c>
      <c r="H98" s="29">
        <f>SUMIF('Gugelhupf'!$A:$A,$B98,'Gugelhupf'!$F:$F)</f>
        <v/>
      </c>
      <c r="I98" s="29">
        <f>SUMIF('Lucia'!$A:$A,$B98,'Lucia'!$F:$F)</f>
        <v/>
      </c>
      <c r="J98" s="29">
        <f>SUMIF('Bar'!$A:$A,$B98,'Bar'!$F:$F)</f>
        <v/>
      </c>
      <c r="K98" s="30">
        <f>SUM(E98:J98)</f>
        <v/>
      </c>
    </row>
    <row r="99">
      <c r="A99" s="12">
        <f>IF(Artikelstamm!$A99="","",Artikelstamm!$A99)</f>
        <v/>
      </c>
      <c r="B99" s="14">
        <f>IF(Artikelstamm!$B99="","",Artikelstamm!$B99)</f>
        <v/>
      </c>
      <c r="C99" s="14">
        <f>IF(Artikelstamm!$C99="","",Artikelstamm!$C99)</f>
        <v/>
      </c>
      <c r="D99" s="12">
        <f>IF(Artikelstamm!$E99="","",Artikelstamm!$E99)</f>
        <v/>
      </c>
      <c r="E99" s="27">
        <f>SUMIF('Hauptmagazin'!$A:$A,$B99,'Hauptmagazin'!$F:$F)</f>
        <v/>
      </c>
      <c r="F99" s="27">
        <f>SUMIF('Panorama'!$A:$A,$B99,'Panorama'!$F:$F)</f>
        <v/>
      </c>
      <c r="G99" s="27">
        <f>SUMIF('Kachelofen'!$A:$A,$B99,'Kachelofen'!$F:$F)</f>
        <v/>
      </c>
      <c r="H99" s="27">
        <f>SUMIF('Gugelhupf'!$A:$A,$B99,'Gugelhupf'!$F:$F)</f>
        <v/>
      </c>
      <c r="I99" s="27">
        <f>SUMIF('Lucia'!$A:$A,$B99,'Lucia'!$F:$F)</f>
        <v/>
      </c>
      <c r="J99" s="27">
        <f>SUMIF('Bar'!$A:$A,$B99,'Bar'!$F:$F)</f>
        <v/>
      </c>
      <c r="K99" s="28">
        <f>SUM(E99:J99)</f>
        <v/>
      </c>
    </row>
    <row r="100">
      <c r="A100" s="15">
        <f>IF(Artikelstamm!$A100="","",Artikelstamm!$A100)</f>
        <v/>
      </c>
      <c r="B100" s="17">
        <f>IF(Artikelstamm!$B100="","",Artikelstamm!$B100)</f>
        <v/>
      </c>
      <c r="C100" s="17">
        <f>IF(Artikelstamm!$C100="","",Artikelstamm!$C100)</f>
        <v/>
      </c>
      <c r="D100" s="15">
        <f>IF(Artikelstamm!$E100="","",Artikelstamm!$E100)</f>
        <v/>
      </c>
      <c r="E100" s="29">
        <f>SUMIF('Hauptmagazin'!$A:$A,$B100,'Hauptmagazin'!$F:$F)</f>
        <v/>
      </c>
      <c r="F100" s="29">
        <f>SUMIF('Panorama'!$A:$A,$B100,'Panorama'!$F:$F)</f>
        <v/>
      </c>
      <c r="G100" s="29">
        <f>SUMIF('Kachelofen'!$A:$A,$B100,'Kachelofen'!$F:$F)</f>
        <v/>
      </c>
      <c r="H100" s="29">
        <f>SUMIF('Gugelhupf'!$A:$A,$B100,'Gugelhupf'!$F:$F)</f>
        <v/>
      </c>
      <c r="I100" s="29">
        <f>SUMIF('Lucia'!$A:$A,$B100,'Lucia'!$F:$F)</f>
        <v/>
      </c>
      <c r="J100" s="29">
        <f>SUMIF('Bar'!$A:$A,$B100,'Bar'!$F:$F)</f>
        <v/>
      </c>
      <c r="K100" s="30">
        <f>SUM(E100:J100)</f>
        <v/>
      </c>
    </row>
    <row r="101">
      <c r="A101" s="12">
        <f>IF(Artikelstamm!$A101="","",Artikelstamm!$A101)</f>
        <v/>
      </c>
      <c r="B101" s="14">
        <f>IF(Artikelstamm!$B101="","",Artikelstamm!$B101)</f>
        <v/>
      </c>
      <c r="C101" s="14">
        <f>IF(Artikelstamm!$C101="","",Artikelstamm!$C101)</f>
        <v/>
      </c>
      <c r="D101" s="12">
        <f>IF(Artikelstamm!$E101="","",Artikelstamm!$E101)</f>
        <v/>
      </c>
      <c r="E101" s="27">
        <f>SUMIF('Hauptmagazin'!$A:$A,$B101,'Hauptmagazin'!$F:$F)</f>
        <v/>
      </c>
      <c r="F101" s="27">
        <f>SUMIF('Panorama'!$A:$A,$B101,'Panorama'!$F:$F)</f>
        <v/>
      </c>
      <c r="G101" s="27">
        <f>SUMIF('Kachelofen'!$A:$A,$B101,'Kachelofen'!$F:$F)</f>
        <v/>
      </c>
      <c r="H101" s="27">
        <f>SUMIF('Gugelhupf'!$A:$A,$B101,'Gugelhupf'!$F:$F)</f>
        <v/>
      </c>
      <c r="I101" s="27">
        <f>SUMIF('Lucia'!$A:$A,$B101,'Lucia'!$F:$F)</f>
        <v/>
      </c>
      <c r="J101" s="27">
        <f>SUMIF('Bar'!$A:$A,$B101,'Bar'!$F:$F)</f>
        <v/>
      </c>
      <c r="K101" s="28">
        <f>SUM(E101:J101)</f>
        <v/>
      </c>
    </row>
    <row r="102">
      <c r="A102" s="15">
        <f>IF(Artikelstamm!$A102="","",Artikelstamm!$A102)</f>
        <v/>
      </c>
      <c r="B102" s="17">
        <f>IF(Artikelstamm!$B102="","",Artikelstamm!$B102)</f>
        <v/>
      </c>
      <c r="C102" s="17">
        <f>IF(Artikelstamm!$C102="","",Artikelstamm!$C102)</f>
        <v/>
      </c>
      <c r="D102" s="15">
        <f>IF(Artikelstamm!$E102="","",Artikelstamm!$E102)</f>
        <v/>
      </c>
      <c r="E102" s="29">
        <f>SUMIF('Hauptmagazin'!$A:$A,$B102,'Hauptmagazin'!$F:$F)</f>
        <v/>
      </c>
      <c r="F102" s="29">
        <f>SUMIF('Panorama'!$A:$A,$B102,'Panorama'!$F:$F)</f>
        <v/>
      </c>
      <c r="G102" s="29">
        <f>SUMIF('Kachelofen'!$A:$A,$B102,'Kachelofen'!$F:$F)</f>
        <v/>
      </c>
      <c r="H102" s="29">
        <f>SUMIF('Gugelhupf'!$A:$A,$B102,'Gugelhupf'!$F:$F)</f>
        <v/>
      </c>
      <c r="I102" s="29">
        <f>SUMIF('Lucia'!$A:$A,$B102,'Lucia'!$F:$F)</f>
        <v/>
      </c>
      <c r="J102" s="29">
        <f>SUMIF('Bar'!$A:$A,$B102,'Bar'!$F:$F)</f>
        <v/>
      </c>
      <c r="K102" s="30">
        <f>SUM(E102:J102)</f>
        <v/>
      </c>
    </row>
    <row r="103">
      <c r="A103" s="12">
        <f>IF(Artikelstamm!$A103="","",Artikelstamm!$A103)</f>
        <v/>
      </c>
      <c r="B103" s="14">
        <f>IF(Artikelstamm!$B103="","",Artikelstamm!$B103)</f>
        <v/>
      </c>
      <c r="C103" s="14">
        <f>IF(Artikelstamm!$C103="","",Artikelstamm!$C103)</f>
        <v/>
      </c>
      <c r="D103" s="12">
        <f>IF(Artikelstamm!$E103="","",Artikelstamm!$E103)</f>
        <v/>
      </c>
      <c r="E103" s="27">
        <f>SUMIF('Hauptmagazin'!$A:$A,$B103,'Hauptmagazin'!$F:$F)</f>
        <v/>
      </c>
      <c r="F103" s="27">
        <f>SUMIF('Panorama'!$A:$A,$B103,'Panorama'!$F:$F)</f>
        <v/>
      </c>
      <c r="G103" s="27">
        <f>SUMIF('Kachelofen'!$A:$A,$B103,'Kachelofen'!$F:$F)</f>
        <v/>
      </c>
      <c r="H103" s="27">
        <f>SUMIF('Gugelhupf'!$A:$A,$B103,'Gugelhupf'!$F:$F)</f>
        <v/>
      </c>
      <c r="I103" s="27">
        <f>SUMIF('Lucia'!$A:$A,$B103,'Lucia'!$F:$F)</f>
        <v/>
      </c>
      <c r="J103" s="27">
        <f>SUMIF('Bar'!$A:$A,$B103,'Bar'!$F:$F)</f>
        <v/>
      </c>
      <c r="K103" s="28">
        <f>SUM(E103:J103)</f>
        <v/>
      </c>
    </row>
    <row r="104">
      <c r="A104" s="15">
        <f>IF(Artikelstamm!$A104="","",Artikelstamm!$A104)</f>
        <v/>
      </c>
      <c r="B104" s="17">
        <f>IF(Artikelstamm!$B104="","",Artikelstamm!$B104)</f>
        <v/>
      </c>
      <c r="C104" s="17">
        <f>IF(Artikelstamm!$C104="","",Artikelstamm!$C104)</f>
        <v/>
      </c>
      <c r="D104" s="15">
        <f>IF(Artikelstamm!$E104="","",Artikelstamm!$E104)</f>
        <v/>
      </c>
      <c r="E104" s="29">
        <f>SUMIF('Hauptmagazin'!$A:$A,$B104,'Hauptmagazin'!$F:$F)</f>
        <v/>
      </c>
      <c r="F104" s="29">
        <f>SUMIF('Panorama'!$A:$A,$B104,'Panorama'!$F:$F)</f>
        <v/>
      </c>
      <c r="G104" s="29">
        <f>SUMIF('Kachelofen'!$A:$A,$B104,'Kachelofen'!$F:$F)</f>
        <v/>
      </c>
      <c r="H104" s="29">
        <f>SUMIF('Gugelhupf'!$A:$A,$B104,'Gugelhupf'!$F:$F)</f>
        <v/>
      </c>
      <c r="I104" s="29">
        <f>SUMIF('Lucia'!$A:$A,$B104,'Lucia'!$F:$F)</f>
        <v/>
      </c>
      <c r="J104" s="29">
        <f>SUMIF('Bar'!$A:$A,$B104,'Bar'!$F:$F)</f>
        <v/>
      </c>
      <c r="K104" s="30">
        <f>SUM(E104:J104)</f>
        <v/>
      </c>
    </row>
    <row r="105">
      <c r="A105" s="12">
        <f>IF(Artikelstamm!$A105="","",Artikelstamm!$A105)</f>
        <v/>
      </c>
      <c r="B105" s="14">
        <f>IF(Artikelstamm!$B105="","",Artikelstamm!$B105)</f>
        <v/>
      </c>
      <c r="C105" s="14">
        <f>IF(Artikelstamm!$C105="","",Artikelstamm!$C105)</f>
        <v/>
      </c>
      <c r="D105" s="12">
        <f>IF(Artikelstamm!$E105="","",Artikelstamm!$E105)</f>
        <v/>
      </c>
      <c r="E105" s="27">
        <f>SUMIF('Hauptmagazin'!$A:$A,$B105,'Hauptmagazin'!$F:$F)</f>
        <v/>
      </c>
      <c r="F105" s="27">
        <f>SUMIF('Panorama'!$A:$A,$B105,'Panorama'!$F:$F)</f>
        <v/>
      </c>
      <c r="G105" s="27">
        <f>SUMIF('Kachelofen'!$A:$A,$B105,'Kachelofen'!$F:$F)</f>
        <v/>
      </c>
      <c r="H105" s="27">
        <f>SUMIF('Gugelhupf'!$A:$A,$B105,'Gugelhupf'!$F:$F)</f>
        <v/>
      </c>
      <c r="I105" s="27">
        <f>SUMIF('Lucia'!$A:$A,$B105,'Lucia'!$F:$F)</f>
        <v/>
      </c>
      <c r="J105" s="27">
        <f>SUMIF('Bar'!$A:$A,$B105,'Bar'!$F:$F)</f>
        <v/>
      </c>
      <c r="K105" s="28">
        <f>SUM(E105:J105)</f>
        <v/>
      </c>
    </row>
    <row r="106">
      <c r="A106" s="15">
        <f>IF(Artikelstamm!$A106="","",Artikelstamm!$A106)</f>
        <v/>
      </c>
      <c r="B106" s="17">
        <f>IF(Artikelstamm!$B106="","",Artikelstamm!$B106)</f>
        <v/>
      </c>
      <c r="C106" s="17">
        <f>IF(Artikelstamm!$C106="","",Artikelstamm!$C106)</f>
        <v/>
      </c>
      <c r="D106" s="15">
        <f>IF(Artikelstamm!$E106="","",Artikelstamm!$E106)</f>
        <v/>
      </c>
      <c r="E106" s="29">
        <f>SUMIF('Hauptmagazin'!$A:$A,$B106,'Hauptmagazin'!$F:$F)</f>
        <v/>
      </c>
      <c r="F106" s="29">
        <f>SUMIF('Panorama'!$A:$A,$B106,'Panorama'!$F:$F)</f>
        <v/>
      </c>
      <c r="G106" s="29">
        <f>SUMIF('Kachelofen'!$A:$A,$B106,'Kachelofen'!$F:$F)</f>
        <v/>
      </c>
      <c r="H106" s="29">
        <f>SUMIF('Gugelhupf'!$A:$A,$B106,'Gugelhupf'!$F:$F)</f>
        <v/>
      </c>
      <c r="I106" s="29">
        <f>SUMIF('Lucia'!$A:$A,$B106,'Lucia'!$F:$F)</f>
        <v/>
      </c>
      <c r="J106" s="29">
        <f>SUMIF('Bar'!$A:$A,$B106,'Bar'!$F:$F)</f>
        <v/>
      </c>
      <c r="K106" s="30">
        <f>SUM(E106:J106)</f>
        <v/>
      </c>
    </row>
    <row r="107">
      <c r="A107" s="12">
        <f>IF(Artikelstamm!$A107="","",Artikelstamm!$A107)</f>
        <v/>
      </c>
      <c r="B107" s="14">
        <f>IF(Artikelstamm!$B107="","",Artikelstamm!$B107)</f>
        <v/>
      </c>
      <c r="C107" s="14">
        <f>IF(Artikelstamm!$C107="","",Artikelstamm!$C107)</f>
        <v/>
      </c>
      <c r="D107" s="12">
        <f>IF(Artikelstamm!$E107="","",Artikelstamm!$E107)</f>
        <v/>
      </c>
      <c r="E107" s="27">
        <f>SUMIF('Hauptmagazin'!$A:$A,$B107,'Hauptmagazin'!$F:$F)</f>
        <v/>
      </c>
      <c r="F107" s="27">
        <f>SUMIF('Panorama'!$A:$A,$B107,'Panorama'!$F:$F)</f>
        <v/>
      </c>
      <c r="G107" s="27">
        <f>SUMIF('Kachelofen'!$A:$A,$B107,'Kachelofen'!$F:$F)</f>
        <v/>
      </c>
      <c r="H107" s="27">
        <f>SUMIF('Gugelhupf'!$A:$A,$B107,'Gugelhupf'!$F:$F)</f>
        <v/>
      </c>
      <c r="I107" s="27">
        <f>SUMIF('Lucia'!$A:$A,$B107,'Lucia'!$F:$F)</f>
        <v/>
      </c>
      <c r="J107" s="27">
        <f>SUMIF('Bar'!$A:$A,$B107,'Bar'!$F:$F)</f>
        <v/>
      </c>
      <c r="K107" s="28">
        <f>SUM(E107:J107)</f>
        <v/>
      </c>
    </row>
    <row r="108">
      <c r="A108" s="15">
        <f>IF(Artikelstamm!$A108="","",Artikelstamm!$A108)</f>
        <v/>
      </c>
      <c r="B108" s="17">
        <f>IF(Artikelstamm!$B108="","",Artikelstamm!$B108)</f>
        <v/>
      </c>
      <c r="C108" s="17">
        <f>IF(Artikelstamm!$C108="","",Artikelstamm!$C108)</f>
        <v/>
      </c>
      <c r="D108" s="15">
        <f>IF(Artikelstamm!$E108="","",Artikelstamm!$E108)</f>
        <v/>
      </c>
      <c r="E108" s="29">
        <f>SUMIF('Hauptmagazin'!$A:$A,$B108,'Hauptmagazin'!$F:$F)</f>
        <v/>
      </c>
      <c r="F108" s="29">
        <f>SUMIF('Panorama'!$A:$A,$B108,'Panorama'!$F:$F)</f>
        <v/>
      </c>
      <c r="G108" s="29">
        <f>SUMIF('Kachelofen'!$A:$A,$B108,'Kachelofen'!$F:$F)</f>
        <v/>
      </c>
      <c r="H108" s="29">
        <f>SUMIF('Gugelhupf'!$A:$A,$B108,'Gugelhupf'!$F:$F)</f>
        <v/>
      </c>
      <c r="I108" s="29">
        <f>SUMIF('Lucia'!$A:$A,$B108,'Lucia'!$F:$F)</f>
        <v/>
      </c>
      <c r="J108" s="29">
        <f>SUMIF('Bar'!$A:$A,$B108,'Bar'!$F:$F)</f>
        <v/>
      </c>
      <c r="K108" s="30">
        <f>SUM(E108:J108)</f>
        <v/>
      </c>
    </row>
    <row r="109">
      <c r="A109" s="12">
        <f>IF(Artikelstamm!$A109="","",Artikelstamm!$A109)</f>
        <v/>
      </c>
      <c r="B109" s="14">
        <f>IF(Artikelstamm!$B109="","",Artikelstamm!$B109)</f>
        <v/>
      </c>
      <c r="C109" s="14">
        <f>IF(Artikelstamm!$C109="","",Artikelstamm!$C109)</f>
        <v/>
      </c>
      <c r="D109" s="12">
        <f>IF(Artikelstamm!$E109="","",Artikelstamm!$E109)</f>
        <v/>
      </c>
      <c r="E109" s="27">
        <f>SUMIF('Hauptmagazin'!$A:$A,$B109,'Hauptmagazin'!$F:$F)</f>
        <v/>
      </c>
      <c r="F109" s="27">
        <f>SUMIF('Panorama'!$A:$A,$B109,'Panorama'!$F:$F)</f>
        <v/>
      </c>
      <c r="G109" s="27">
        <f>SUMIF('Kachelofen'!$A:$A,$B109,'Kachelofen'!$F:$F)</f>
        <v/>
      </c>
      <c r="H109" s="27">
        <f>SUMIF('Gugelhupf'!$A:$A,$B109,'Gugelhupf'!$F:$F)</f>
        <v/>
      </c>
      <c r="I109" s="27">
        <f>SUMIF('Lucia'!$A:$A,$B109,'Lucia'!$F:$F)</f>
        <v/>
      </c>
      <c r="J109" s="27">
        <f>SUMIF('Bar'!$A:$A,$B109,'Bar'!$F:$F)</f>
        <v/>
      </c>
      <c r="K109" s="28">
        <f>SUM(E109:J109)</f>
        <v/>
      </c>
    </row>
    <row r="110">
      <c r="A110" s="15">
        <f>IF(Artikelstamm!$A110="","",Artikelstamm!$A110)</f>
        <v/>
      </c>
      <c r="B110" s="17">
        <f>IF(Artikelstamm!$B110="","",Artikelstamm!$B110)</f>
        <v/>
      </c>
      <c r="C110" s="17">
        <f>IF(Artikelstamm!$C110="","",Artikelstamm!$C110)</f>
        <v/>
      </c>
      <c r="D110" s="15">
        <f>IF(Artikelstamm!$E110="","",Artikelstamm!$E110)</f>
        <v/>
      </c>
      <c r="E110" s="29">
        <f>SUMIF('Hauptmagazin'!$A:$A,$B110,'Hauptmagazin'!$F:$F)</f>
        <v/>
      </c>
      <c r="F110" s="29">
        <f>SUMIF('Panorama'!$A:$A,$B110,'Panorama'!$F:$F)</f>
        <v/>
      </c>
      <c r="G110" s="29">
        <f>SUMIF('Kachelofen'!$A:$A,$B110,'Kachelofen'!$F:$F)</f>
        <v/>
      </c>
      <c r="H110" s="29">
        <f>SUMIF('Gugelhupf'!$A:$A,$B110,'Gugelhupf'!$F:$F)</f>
        <v/>
      </c>
      <c r="I110" s="29">
        <f>SUMIF('Lucia'!$A:$A,$B110,'Lucia'!$F:$F)</f>
        <v/>
      </c>
      <c r="J110" s="29">
        <f>SUMIF('Bar'!$A:$A,$B110,'Bar'!$F:$F)</f>
        <v/>
      </c>
      <c r="K110" s="30">
        <f>SUM(E110:J110)</f>
        <v/>
      </c>
    </row>
    <row r="111">
      <c r="A111" s="12">
        <f>IF(Artikelstamm!$A111="","",Artikelstamm!$A111)</f>
        <v/>
      </c>
      <c r="B111" s="14">
        <f>IF(Artikelstamm!$B111="","",Artikelstamm!$B111)</f>
        <v/>
      </c>
      <c r="C111" s="14">
        <f>IF(Artikelstamm!$C111="","",Artikelstamm!$C111)</f>
        <v/>
      </c>
      <c r="D111" s="12">
        <f>IF(Artikelstamm!$E111="","",Artikelstamm!$E111)</f>
        <v/>
      </c>
      <c r="E111" s="27">
        <f>SUMIF('Hauptmagazin'!$A:$A,$B111,'Hauptmagazin'!$F:$F)</f>
        <v/>
      </c>
      <c r="F111" s="27">
        <f>SUMIF('Panorama'!$A:$A,$B111,'Panorama'!$F:$F)</f>
        <v/>
      </c>
      <c r="G111" s="27">
        <f>SUMIF('Kachelofen'!$A:$A,$B111,'Kachelofen'!$F:$F)</f>
        <v/>
      </c>
      <c r="H111" s="27">
        <f>SUMIF('Gugelhupf'!$A:$A,$B111,'Gugelhupf'!$F:$F)</f>
        <v/>
      </c>
      <c r="I111" s="27">
        <f>SUMIF('Lucia'!$A:$A,$B111,'Lucia'!$F:$F)</f>
        <v/>
      </c>
      <c r="J111" s="27">
        <f>SUMIF('Bar'!$A:$A,$B111,'Bar'!$F:$F)</f>
        <v/>
      </c>
      <c r="K111" s="28">
        <f>SUM(E111:J111)</f>
        <v/>
      </c>
    </row>
    <row r="112">
      <c r="A112" s="15">
        <f>IF(Artikelstamm!$A112="","",Artikelstamm!$A112)</f>
        <v/>
      </c>
      <c r="B112" s="17">
        <f>IF(Artikelstamm!$B112="","",Artikelstamm!$B112)</f>
        <v/>
      </c>
      <c r="C112" s="17">
        <f>IF(Artikelstamm!$C112="","",Artikelstamm!$C112)</f>
        <v/>
      </c>
      <c r="D112" s="15">
        <f>IF(Artikelstamm!$E112="","",Artikelstamm!$E112)</f>
        <v/>
      </c>
      <c r="E112" s="29">
        <f>SUMIF('Hauptmagazin'!$A:$A,$B112,'Hauptmagazin'!$F:$F)</f>
        <v/>
      </c>
      <c r="F112" s="29">
        <f>SUMIF('Panorama'!$A:$A,$B112,'Panorama'!$F:$F)</f>
        <v/>
      </c>
      <c r="G112" s="29">
        <f>SUMIF('Kachelofen'!$A:$A,$B112,'Kachelofen'!$F:$F)</f>
        <v/>
      </c>
      <c r="H112" s="29">
        <f>SUMIF('Gugelhupf'!$A:$A,$B112,'Gugelhupf'!$F:$F)</f>
        <v/>
      </c>
      <c r="I112" s="29">
        <f>SUMIF('Lucia'!$A:$A,$B112,'Lucia'!$F:$F)</f>
        <v/>
      </c>
      <c r="J112" s="29">
        <f>SUMIF('Bar'!$A:$A,$B112,'Bar'!$F:$F)</f>
        <v/>
      </c>
      <c r="K112" s="30">
        <f>SUM(E112:J112)</f>
        <v/>
      </c>
    </row>
    <row r="113">
      <c r="A113" s="12">
        <f>IF(Artikelstamm!$A113="","",Artikelstamm!$A113)</f>
        <v/>
      </c>
      <c r="B113" s="14">
        <f>IF(Artikelstamm!$B113="","",Artikelstamm!$B113)</f>
        <v/>
      </c>
      <c r="C113" s="14">
        <f>IF(Artikelstamm!$C113="","",Artikelstamm!$C113)</f>
        <v/>
      </c>
      <c r="D113" s="12">
        <f>IF(Artikelstamm!$E113="","",Artikelstamm!$E113)</f>
        <v/>
      </c>
      <c r="E113" s="27">
        <f>SUMIF('Hauptmagazin'!$A:$A,$B113,'Hauptmagazin'!$F:$F)</f>
        <v/>
      </c>
      <c r="F113" s="27">
        <f>SUMIF('Panorama'!$A:$A,$B113,'Panorama'!$F:$F)</f>
        <v/>
      </c>
      <c r="G113" s="27">
        <f>SUMIF('Kachelofen'!$A:$A,$B113,'Kachelofen'!$F:$F)</f>
        <v/>
      </c>
      <c r="H113" s="27">
        <f>SUMIF('Gugelhupf'!$A:$A,$B113,'Gugelhupf'!$F:$F)</f>
        <v/>
      </c>
      <c r="I113" s="27">
        <f>SUMIF('Lucia'!$A:$A,$B113,'Lucia'!$F:$F)</f>
        <v/>
      </c>
      <c r="J113" s="27">
        <f>SUMIF('Bar'!$A:$A,$B113,'Bar'!$F:$F)</f>
        <v/>
      </c>
      <c r="K113" s="28">
        <f>SUM(E113:J113)</f>
        <v/>
      </c>
    </row>
    <row r="114">
      <c r="A114" s="15">
        <f>IF(Artikelstamm!$A114="","",Artikelstamm!$A114)</f>
        <v/>
      </c>
      <c r="B114" s="17">
        <f>IF(Artikelstamm!$B114="","",Artikelstamm!$B114)</f>
        <v/>
      </c>
      <c r="C114" s="17">
        <f>IF(Artikelstamm!$C114="","",Artikelstamm!$C114)</f>
        <v/>
      </c>
      <c r="D114" s="15">
        <f>IF(Artikelstamm!$E114="","",Artikelstamm!$E114)</f>
        <v/>
      </c>
      <c r="E114" s="29">
        <f>SUMIF('Hauptmagazin'!$A:$A,$B114,'Hauptmagazin'!$F:$F)</f>
        <v/>
      </c>
      <c r="F114" s="29">
        <f>SUMIF('Panorama'!$A:$A,$B114,'Panorama'!$F:$F)</f>
        <v/>
      </c>
      <c r="G114" s="29">
        <f>SUMIF('Kachelofen'!$A:$A,$B114,'Kachelofen'!$F:$F)</f>
        <v/>
      </c>
      <c r="H114" s="29">
        <f>SUMIF('Gugelhupf'!$A:$A,$B114,'Gugelhupf'!$F:$F)</f>
        <v/>
      </c>
      <c r="I114" s="29">
        <f>SUMIF('Lucia'!$A:$A,$B114,'Lucia'!$F:$F)</f>
        <v/>
      </c>
      <c r="J114" s="29">
        <f>SUMIF('Bar'!$A:$A,$B114,'Bar'!$F:$F)</f>
        <v/>
      </c>
      <c r="K114" s="30">
        <f>SUM(E114:J114)</f>
        <v/>
      </c>
    </row>
    <row r="115">
      <c r="A115" s="12">
        <f>IF(Artikelstamm!$A115="","",Artikelstamm!$A115)</f>
        <v/>
      </c>
      <c r="B115" s="14">
        <f>IF(Artikelstamm!$B115="","",Artikelstamm!$B115)</f>
        <v/>
      </c>
      <c r="C115" s="14">
        <f>IF(Artikelstamm!$C115="","",Artikelstamm!$C115)</f>
        <v/>
      </c>
      <c r="D115" s="12">
        <f>IF(Artikelstamm!$E115="","",Artikelstamm!$E115)</f>
        <v/>
      </c>
      <c r="E115" s="27">
        <f>SUMIF('Hauptmagazin'!$A:$A,$B115,'Hauptmagazin'!$F:$F)</f>
        <v/>
      </c>
      <c r="F115" s="27">
        <f>SUMIF('Panorama'!$A:$A,$B115,'Panorama'!$F:$F)</f>
        <v/>
      </c>
      <c r="G115" s="27">
        <f>SUMIF('Kachelofen'!$A:$A,$B115,'Kachelofen'!$F:$F)</f>
        <v/>
      </c>
      <c r="H115" s="27">
        <f>SUMIF('Gugelhupf'!$A:$A,$B115,'Gugelhupf'!$F:$F)</f>
        <v/>
      </c>
      <c r="I115" s="27">
        <f>SUMIF('Lucia'!$A:$A,$B115,'Lucia'!$F:$F)</f>
        <v/>
      </c>
      <c r="J115" s="27">
        <f>SUMIF('Bar'!$A:$A,$B115,'Bar'!$F:$F)</f>
        <v/>
      </c>
      <c r="K115" s="28">
        <f>SUM(E115:J115)</f>
        <v/>
      </c>
    </row>
    <row r="116">
      <c r="A116" s="15">
        <f>IF(Artikelstamm!$A116="","",Artikelstamm!$A116)</f>
        <v/>
      </c>
      <c r="B116" s="17">
        <f>IF(Artikelstamm!$B116="","",Artikelstamm!$B116)</f>
        <v/>
      </c>
      <c r="C116" s="17">
        <f>IF(Artikelstamm!$C116="","",Artikelstamm!$C116)</f>
        <v/>
      </c>
      <c r="D116" s="15">
        <f>IF(Artikelstamm!$E116="","",Artikelstamm!$E116)</f>
        <v/>
      </c>
      <c r="E116" s="29">
        <f>SUMIF('Hauptmagazin'!$A:$A,$B116,'Hauptmagazin'!$F:$F)</f>
        <v/>
      </c>
      <c r="F116" s="29">
        <f>SUMIF('Panorama'!$A:$A,$B116,'Panorama'!$F:$F)</f>
        <v/>
      </c>
      <c r="G116" s="29">
        <f>SUMIF('Kachelofen'!$A:$A,$B116,'Kachelofen'!$F:$F)</f>
        <v/>
      </c>
      <c r="H116" s="29">
        <f>SUMIF('Gugelhupf'!$A:$A,$B116,'Gugelhupf'!$F:$F)</f>
        <v/>
      </c>
      <c r="I116" s="29">
        <f>SUMIF('Lucia'!$A:$A,$B116,'Lucia'!$F:$F)</f>
        <v/>
      </c>
      <c r="J116" s="29">
        <f>SUMIF('Bar'!$A:$A,$B116,'Bar'!$F:$F)</f>
        <v/>
      </c>
      <c r="K116" s="30">
        <f>SUM(E116:J116)</f>
        <v/>
      </c>
    </row>
    <row r="117">
      <c r="A117" s="12">
        <f>IF(Artikelstamm!$A117="","",Artikelstamm!$A117)</f>
        <v/>
      </c>
      <c r="B117" s="14">
        <f>IF(Artikelstamm!$B117="","",Artikelstamm!$B117)</f>
        <v/>
      </c>
      <c r="C117" s="14">
        <f>IF(Artikelstamm!$C117="","",Artikelstamm!$C117)</f>
        <v/>
      </c>
      <c r="D117" s="12">
        <f>IF(Artikelstamm!$E117="","",Artikelstamm!$E117)</f>
        <v/>
      </c>
      <c r="E117" s="27">
        <f>SUMIF('Hauptmagazin'!$A:$A,$B117,'Hauptmagazin'!$F:$F)</f>
        <v/>
      </c>
      <c r="F117" s="27">
        <f>SUMIF('Panorama'!$A:$A,$B117,'Panorama'!$F:$F)</f>
        <v/>
      </c>
      <c r="G117" s="27">
        <f>SUMIF('Kachelofen'!$A:$A,$B117,'Kachelofen'!$F:$F)</f>
        <v/>
      </c>
      <c r="H117" s="27">
        <f>SUMIF('Gugelhupf'!$A:$A,$B117,'Gugelhupf'!$F:$F)</f>
        <v/>
      </c>
      <c r="I117" s="27">
        <f>SUMIF('Lucia'!$A:$A,$B117,'Lucia'!$F:$F)</f>
        <v/>
      </c>
      <c r="J117" s="27">
        <f>SUMIF('Bar'!$A:$A,$B117,'Bar'!$F:$F)</f>
        <v/>
      </c>
      <c r="K117" s="28">
        <f>SUM(E117:J117)</f>
        <v/>
      </c>
    </row>
    <row r="118">
      <c r="A118" s="15">
        <f>IF(Artikelstamm!$A118="","",Artikelstamm!$A118)</f>
        <v/>
      </c>
      <c r="B118" s="17">
        <f>IF(Artikelstamm!$B118="","",Artikelstamm!$B118)</f>
        <v/>
      </c>
      <c r="C118" s="17">
        <f>IF(Artikelstamm!$C118="","",Artikelstamm!$C118)</f>
        <v/>
      </c>
      <c r="D118" s="15">
        <f>IF(Artikelstamm!$E118="","",Artikelstamm!$E118)</f>
        <v/>
      </c>
      <c r="E118" s="29">
        <f>SUMIF('Hauptmagazin'!$A:$A,$B118,'Hauptmagazin'!$F:$F)</f>
        <v/>
      </c>
      <c r="F118" s="29">
        <f>SUMIF('Panorama'!$A:$A,$B118,'Panorama'!$F:$F)</f>
        <v/>
      </c>
      <c r="G118" s="29">
        <f>SUMIF('Kachelofen'!$A:$A,$B118,'Kachelofen'!$F:$F)</f>
        <v/>
      </c>
      <c r="H118" s="29">
        <f>SUMIF('Gugelhupf'!$A:$A,$B118,'Gugelhupf'!$F:$F)</f>
        <v/>
      </c>
      <c r="I118" s="29">
        <f>SUMIF('Lucia'!$A:$A,$B118,'Lucia'!$F:$F)</f>
        <v/>
      </c>
      <c r="J118" s="29">
        <f>SUMIF('Bar'!$A:$A,$B118,'Bar'!$F:$F)</f>
        <v/>
      </c>
      <c r="K118" s="30">
        <f>SUM(E118:J118)</f>
        <v/>
      </c>
    </row>
    <row r="119">
      <c r="A119" s="12">
        <f>IF(Artikelstamm!$A119="","",Artikelstamm!$A119)</f>
        <v/>
      </c>
      <c r="B119" s="14">
        <f>IF(Artikelstamm!$B119="","",Artikelstamm!$B119)</f>
        <v/>
      </c>
      <c r="C119" s="14">
        <f>IF(Artikelstamm!$C119="","",Artikelstamm!$C119)</f>
        <v/>
      </c>
      <c r="D119" s="12">
        <f>IF(Artikelstamm!$E119="","",Artikelstamm!$E119)</f>
        <v/>
      </c>
      <c r="E119" s="27">
        <f>SUMIF('Hauptmagazin'!$A:$A,$B119,'Hauptmagazin'!$F:$F)</f>
        <v/>
      </c>
      <c r="F119" s="27">
        <f>SUMIF('Panorama'!$A:$A,$B119,'Panorama'!$F:$F)</f>
        <v/>
      </c>
      <c r="G119" s="27">
        <f>SUMIF('Kachelofen'!$A:$A,$B119,'Kachelofen'!$F:$F)</f>
        <v/>
      </c>
      <c r="H119" s="27">
        <f>SUMIF('Gugelhupf'!$A:$A,$B119,'Gugelhupf'!$F:$F)</f>
        <v/>
      </c>
      <c r="I119" s="27">
        <f>SUMIF('Lucia'!$A:$A,$B119,'Lucia'!$F:$F)</f>
        <v/>
      </c>
      <c r="J119" s="27">
        <f>SUMIF('Bar'!$A:$A,$B119,'Bar'!$F:$F)</f>
        <v/>
      </c>
      <c r="K119" s="28">
        <f>SUM(E119:J119)</f>
        <v/>
      </c>
    </row>
    <row r="120">
      <c r="A120" s="15">
        <f>IF(Artikelstamm!$A120="","",Artikelstamm!$A120)</f>
        <v/>
      </c>
      <c r="B120" s="17">
        <f>IF(Artikelstamm!$B120="","",Artikelstamm!$B120)</f>
        <v/>
      </c>
      <c r="C120" s="17">
        <f>IF(Artikelstamm!$C120="","",Artikelstamm!$C120)</f>
        <v/>
      </c>
      <c r="D120" s="15">
        <f>IF(Artikelstamm!$E120="","",Artikelstamm!$E120)</f>
        <v/>
      </c>
      <c r="E120" s="29">
        <f>SUMIF('Hauptmagazin'!$A:$A,$B120,'Hauptmagazin'!$F:$F)</f>
        <v/>
      </c>
      <c r="F120" s="29">
        <f>SUMIF('Panorama'!$A:$A,$B120,'Panorama'!$F:$F)</f>
        <v/>
      </c>
      <c r="G120" s="29">
        <f>SUMIF('Kachelofen'!$A:$A,$B120,'Kachelofen'!$F:$F)</f>
        <v/>
      </c>
      <c r="H120" s="29">
        <f>SUMIF('Gugelhupf'!$A:$A,$B120,'Gugelhupf'!$F:$F)</f>
        <v/>
      </c>
      <c r="I120" s="29">
        <f>SUMIF('Lucia'!$A:$A,$B120,'Lucia'!$F:$F)</f>
        <v/>
      </c>
      <c r="J120" s="29">
        <f>SUMIF('Bar'!$A:$A,$B120,'Bar'!$F:$F)</f>
        <v/>
      </c>
      <c r="K120" s="30">
        <f>SUM(E120:J120)</f>
        <v/>
      </c>
    </row>
    <row r="121">
      <c r="A121" s="12">
        <f>IF(Artikelstamm!$A121="","",Artikelstamm!$A121)</f>
        <v/>
      </c>
      <c r="B121" s="14">
        <f>IF(Artikelstamm!$B121="","",Artikelstamm!$B121)</f>
        <v/>
      </c>
      <c r="C121" s="14">
        <f>IF(Artikelstamm!$C121="","",Artikelstamm!$C121)</f>
        <v/>
      </c>
      <c r="D121" s="12">
        <f>IF(Artikelstamm!$E121="","",Artikelstamm!$E121)</f>
        <v/>
      </c>
      <c r="E121" s="27">
        <f>SUMIF('Hauptmagazin'!$A:$A,$B121,'Hauptmagazin'!$F:$F)</f>
        <v/>
      </c>
      <c r="F121" s="27">
        <f>SUMIF('Panorama'!$A:$A,$B121,'Panorama'!$F:$F)</f>
        <v/>
      </c>
      <c r="G121" s="27">
        <f>SUMIF('Kachelofen'!$A:$A,$B121,'Kachelofen'!$F:$F)</f>
        <v/>
      </c>
      <c r="H121" s="27">
        <f>SUMIF('Gugelhupf'!$A:$A,$B121,'Gugelhupf'!$F:$F)</f>
        <v/>
      </c>
      <c r="I121" s="27">
        <f>SUMIF('Lucia'!$A:$A,$B121,'Lucia'!$F:$F)</f>
        <v/>
      </c>
      <c r="J121" s="27">
        <f>SUMIF('Bar'!$A:$A,$B121,'Bar'!$F:$F)</f>
        <v/>
      </c>
      <c r="K121" s="28">
        <f>SUM(E121:J121)</f>
        <v/>
      </c>
    </row>
    <row r="122">
      <c r="A122" s="15">
        <f>IF(Artikelstamm!$A122="","",Artikelstamm!$A122)</f>
        <v/>
      </c>
      <c r="B122" s="17">
        <f>IF(Artikelstamm!$B122="","",Artikelstamm!$B122)</f>
        <v/>
      </c>
      <c r="C122" s="17">
        <f>IF(Artikelstamm!$C122="","",Artikelstamm!$C122)</f>
        <v/>
      </c>
      <c r="D122" s="15">
        <f>IF(Artikelstamm!$E122="","",Artikelstamm!$E122)</f>
        <v/>
      </c>
      <c r="E122" s="29">
        <f>SUMIF('Hauptmagazin'!$A:$A,$B122,'Hauptmagazin'!$F:$F)</f>
        <v/>
      </c>
      <c r="F122" s="29">
        <f>SUMIF('Panorama'!$A:$A,$B122,'Panorama'!$F:$F)</f>
        <v/>
      </c>
      <c r="G122" s="29">
        <f>SUMIF('Kachelofen'!$A:$A,$B122,'Kachelofen'!$F:$F)</f>
        <v/>
      </c>
      <c r="H122" s="29">
        <f>SUMIF('Gugelhupf'!$A:$A,$B122,'Gugelhupf'!$F:$F)</f>
        <v/>
      </c>
      <c r="I122" s="29">
        <f>SUMIF('Lucia'!$A:$A,$B122,'Lucia'!$F:$F)</f>
        <v/>
      </c>
      <c r="J122" s="29">
        <f>SUMIF('Bar'!$A:$A,$B122,'Bar'!$F:$F)</f>
        <v/>
      </c>
      <c r="K122" s="30">
        <f>SUM(E122:J122)</f>
        <v/>
      </c>
    </row>
    <row r="123">
      <c r="A123" s="12">
        <f>IF(Artikelstamm!$A123="","",Artikelstamm!$A123)</f>
        <v/>
      </c>
      <c r="B123" s="14">
        <f>IF(Artikelstamm!$B123="","",Artikelstamm!$B123)</f>
        <v/>
      </c>
      <c r="C123" s="14">
        <f>IF(Artikelstamm!$C123="","",Artikelstamm!$C123)</f>
        <v/>
      </c>
      <c r="D123" s="12">
        <f>IF(Artikelstamm!$E123="","",Artikelstamm!$E123)</f>
        <v/>
      </c>
      <c r="E123" s="27">
        <f>SUMIF('Hauptmagazin'!$A:$A,$B123,'Hauptmagazin'!$F:$F)</f>
        <v/>
      </c>
      <c r="F123" s="27">
        <f>SUMIF('Panorama'!$A:$A,$B123,'Panorama'!$F:$F)</f>
        <v/>
      </c>
      <c r="G123" s="27">
        <f>SUMIF('Kachelofen'!$A:$A,$B123,'Kachelofen'!$F:$F)</f>
        <v/>
      </c>
      <c r="H123" s="27">
        <f>SUMIF('Gugelhupf'!$A:$A,$B123,'Gugelhupf'!$F:$F)</f>
        <v/>
      </c>
      <c r="I123" s="27">
        <f>SUMIF('Lucia'!$A:$A,$B123,'Lucia'!$F:$F)</f>
        <v/>
      </c>
      <c r="J123" s="27">
        <f>SUMIF('Bar'!$A:$A,$B123,'Bar'!$F:$F)</f>
        <v/>
      </c>
      <c r="K123" s="28">
        <f>SUM(E123:J123)</f>
        <v/>
      </c>
    </row>
    <row r="124">
      <c r="A124" s="15">
        <f>IF(Artikelstamm!$A124="","",Artikelstamm!$A124)</f>
        <v/>
      </c>
      <c r="B124" s="17">
        <f>IF(Artikelstamm!$B124="","",Artikelstamm!$B124)</f>
        <v/>
      </c>
      <c r="C124" s="17">
        <f>IF(Artikelstamm!$C124="","",Artikelstamm!$C124)</f>
        <v/>
      </c>
      <c r="D124" s="15">
        <f>IF(Artikelstamm!$E124="","",Artikelstamm!$E124)</f>
        <v/>
      </c>
      <c r="E124" s="29">
        <f>SUMIF('Hauptmagazin'!$A:$A,$B124,'Hauptmagazin'!$F:$F)</f>
        <v/>
      </c>
      <c r="F124" s="29">
        <f>SUMIF('Panorama'!$A:$A,$B124,'Panorama'!$F:$F)</f>
        <v/>
      </c>
      <c r="G124" s="29">
        <f>SUMIF('Kachelofen'!$A:$A,$B124,'Kachelofen'!$F:$F)</f>
        <v/>
      </c>
      <c r="H124" s="29">
        <f>SUMIF('Gugelhupf'!$A:$A,$B124,'Gugelhupf'!$F:$F)</f>
        <v/>
      </c>
      <c r="I124" s="29">
        <f>SUMIF('Lucia'!$A:$A,$B124,'Lucia'!$F:$F)</f>
        <v/>
      </c>
      <c r="J124" s="29">
        <f>SUMIF('Bar'!$A:$A,$B124,'Bar'!$F:$F)</f>
        <v/>
      </c>
      <c r="K124" s="30">
        <f>SUM(E124:J124)</f>
        <v/>
      </c>
    </row>
    <row r="125">
      <c r="A125" s="12">
        <f>IF(Artikelstamm!$A125="","",Artikelstamm!$A125)</f>
        <v/>
      </c>
      <c r="B125" s="14">
        <f>IF(Artikelstamm!$B125="","",Artikelstamm!$B125)</f>
        <v/>
      </c>
      <c r="C125" s="14">
        <f>IF(Artikelstamm!$C125="","",Artikelstamm!$C125)</f>
        <v/>
      </c>
      <c r="D125" s="12">
        <f>IF(Artikelstamm!$E125="","",Artikelstamm!$E125)</f>
        <v/>
      </c>
      <c r="E125" s="27">
        <f>SUMIF('Hauptmagazin'!$A:$A,$B125,'Hauptmagazin'!$F:$F)</f>
        <v/>
      </c>
      <c r="F125" s="27">
        <f>SUMIF('Panorama'!$A:$A,$B125,'Panorama'!$F:$F)</f>
        <v/>
      </c>
      <c r="G125" s="27">
        <f>SUMIF('Kachelofen'!$A:$A,$B125,'Kachelofen'!$F:$F)</f>
        <v/>
      </c>
      <c r="H125" s="27">
        <f>SUMIF('Gugelhupf'!$A:$A,$B125,'Gugelhupf'!$F:$F)</f>
        <v/>
      </c>
      <c r="I125" s="27">
        <f>SUMIF('Lucia'!$A:$A,$B125,'Lucia'!$F:$F)</f>
        <v/>
      </c>
      <c r="J125" s="27">
        <f>SUMIF('Bar'!$A:$A,$B125,'Bar'!$F:$F)</f>
        <v/>
      </c>
      <c r="K125" s="28">
        <f>SUM(E125:J125)</f>
        <v/>
      </c>
    </row>
    <row r="126">
      <c r="A126" s="15">
        <f>IF(Artikelstamm!$A126="","",Artikelstamm!$A126)</f>
        <v/>
      </c>
      <c r="B126" s="17">
        <f>IF(Artikelstamm!$B126="","",Artikelstamm!$B126)</f>
        <v/>
      </c>
      <c r="C126" s="17">
        <f>IF(Artikelstamm!$C126="","",Artikelstamm!$C126)</f>
        <v/>
      </c>
      <c r="D126" s="15">
        <f>IF(Artikelstamm!$E126="","",Artikelstamm!$E126)</f>
        <v/>
      </c>
      <c r="E126" s="29">
        <f>SUMIF('Hauptmagazin'!$A:$A,$B126,'Hauptmagazin'!$F:$F)</f>
        <v/>
      </c>
      <c r="F126" s="29">
        <f>SUMIF('Panorama'!$A:$A,$B126,'Panorama'!$F:$F)</f>
        <v/>
      </c>
      <c r="G126" s="29">
        <f>SUMIF('Kachelofen'!$A:$A,$B126,'Kachelofen'!$F:$F)</f>
        <v/>
      </c>
      <c r="H126" s="29">
        <f>SUMIF('Gugelhupf'!$A:$A,$B126,'Gugelhupf'!$F:$F)</f>
        <v/>
      </c>
      <c r="I126" s="29">
        <f>SUMIF('Lucia'!$A:$A,$B126,'Lucia'!$F:$F)</f>
        <v/>
      </c>
      <c r="J126" s="29">
        <f>SUMIF('Bar'!$A:$A,$B126,'Bar'!$F:$F)</f>
        <v/>
      </c>
      <c r="K126" s="30">
        <f>SUM(E126:J126)</f>
        <v/>
      </c>
    </row>
    <row r="127">
      <c r="A127" s="12">
        <f>IF(Artikelstamm!$A127="","",Artikelstamm!$A127)</f>
        <v/>
      </c>
      <c r="B127" s="14">
        <f>IF(Artikelstamm!$B127="","",Artikelstamm!$B127)</f>
        <v/>
      </c>
      <c r="C127" s="14">
        <f>IF(Artikelstamm!$C127="","",Artikelstamm!$C127)</f>
        <v/>
      </c>
      <c r="D127" s="12">
        <f>IF(Artikelstamm!$E127="","",Artikelstamm!$E127)</f>
        <v/>
      </c>
      <c r="E127" s="27">
        <f>SUMIF('Hauptmagazin'!$A:$A,$B127,'Hauptmagazin'!$F:$F)</f>
        <v/>
      </c>
      <c r="F127" s="27">
        <f>SUMIF('Panorama'!$A:$A,$B127,'Panorama'!$F:$F)</f>
        <v/>
      </c>
      <c r="G127" s="27">
        <f>SUMIF('Kachelofen'!$A:$A,$B127,'Kachelofen'!$F:$F)</f>
        <v/>
      </c>
      <c r="H127" s="27">
        <f>SUMIF('Gugelhupf'!$A:$A,$B127,'Gugelhupf'!$F:$F)</f>
        <v/>
      </c>
      <c r="I127" s="27">
        <f>SUMIF('Lucia'!$A:$A,$B127,'Lucia'!$F:$F)</f>
        <v/>
      </c>
      <c r="J127" s="27">
        <f>SUMIF('Bar'!$A:$A,$B127,'Bar'!$F:$F)</f>
        <v/>
      </c>
      <c r="K127" s="28">
        <f>SUM(E127:J127)</f>
        <v/>
      </c>
    </row>
    <row r="128">
      <c r="A128" s="15">
        <f>IF(Artikelstamm!$A128="","",Artikelstamm!$A128)</f>
        <v/>
      </c>
      <c r="B128" s="17">
        <f>IF(Artikelstamm!$B128="","",Artikelstamm!$B128)</f>
        <v/>
      </c>
      <c r="C128" s="17">
        <f>IF(Artikelstamm!$C128="","",Artikelstamm!$C128)</f>
        <v/>
      </c>
      <c r="D128" s="15">
        <f>IF(Artikelstamm!$E128="","",Artikelstamm!$E128)</f>
        <v/>
      </c>
      <c r="E128" s="29">
        <f>SUMIF('Hauptmagazin'!$A:$A,$B128,'Hauptmagazin'!$F:$F)</f>
        <v/>
      </c>
      <c r="F128" s="29">
        <f>SUMIF('Panorama'!$A:$A,$B128,'Panorama'!$F:$F)</f>
        <v/>
      </c>
      <c r="G128" s="29">
        <f>SUMIF('Kachelofen'!$A:$A,$B128,'Kachelofen'!$F:$F)</f>
        <v/>
      </c>
      <c r="H128" s="29">
        <f>SUMIF('Gugelhupf'!$A:$A,$B128,'Gugelhupf'!$F:$F)</f>
        <v/>
      </c>
      <c r="I128" s="29">
        <f>SUMIF('Lucia'!$A:$A,$B128,'Lucia'!$F:$F)</f>
        <v/>
      </c>
      <c r="J128" s="29">
        <f>SUMIF('Bar'!$A:$A,$B128,'Bar'!$F:$F)</f>
        <v/>
      </c>
      <c r="K128" s="30">
        <f>SUM(E128:J128)</f>
        <v/>
      </c>
    </row>
    <row r="129">
      <c r="A129" s="12">
        <f>IF(Artikelstamm!$A129="","",Artikelstamm!$A129)</f>
        <v/>
      </c>
      <c r="B129" s="14">
        <f>IF(Artikelstamm!$B129="","",Artikelstamm!$B129)</f>
        <v/>
      </c>
      <c r="C129" s="14">
        <f>IF(Artikelstamm!$C129="","",Artikelstamm!$C129)</f>
        <v/>
      </c>
      <c r="D129" s="12">
        <f>IF(Artikelstamm!$E129="","",Artikelstamm!$E129)</f>
        <v/>
      </c>
      <c r="E129" s="27">
        <f>SUMIF('Hauptmagazin'!$A:$A,$B129,'Hauptmagazin'!$F:$F)</f>
        <v/>
      </c>
      <c r="F129" s="27">
        <f>SUMIF('Panorama'!$A:$A,$B129,'Panorama'!$F:$F)</f>
        <v/>
      </c>
      <c r="G129" s="27">
        <f>SUMIF('Kachelofen'!$A:$A,$B129,'Kachelofen'!$F:$F)</f>
        <v/>
      </c>
      <c r="H129" s="27">
        <f>SUMIF('Gugelhupf'!$A:$A,$B129,'Gugelhupf'!$F:$F)</f>
        <v/>
      </c>
      <c r="I129" s="27">
        <f>SUMIF('Lucia'!$A:$A,$B129,'Lucia'!$F:$F)</f>
        <v/>
      </c>
      <c r="J129" s="27">
        <f>SUMIF('Bar'!$A:$A,$B129,'Bar'!$F:$F)</f>
        <v/>
      </c>
      <c r="K129" s="28">
        <f>SUM(E129:J129)</f>
        <v/>
      </c>
    </row>
    <row r="130">
      <c r="A130" s="15">
        <f>IF(Artikelstamm!$A130="","",Artikelstamm!$A130)</f>
        <v/>
      </c>
      <c r="B130" s="17">
        <f>IF(Artikelstamm!$B130="","",Artikelstamm!$B130)</f>
        <v/>
      </c>
      <c r="C130" s="17">
        <f>IF(Artikelstamm!$C130="","",Artikelstamm!$C130)</f>
        <v/>
      </c>
      <c r="D130" s="15">
        <f>IF(Artikelstamm!$E130="","",Artikelstamm!$E130)</f>
        <v/>
      </c>
      <c r="E130" s="29">
        <f>SUMIF('Hauptmagazin'!$A:$A,$B130,'Hauptmagazin'!$F:$F)</f>
        <v/>
      </c>
      <c r="F130" s="29">
        <f>SUMIF('Panorama'!$A:$A,$B130,'Panorama'!$F:$F)</f>
        <v/>
      </c>
      <c r="G130" s="29">
        <f>SUMIF('Kachelofen'!$A:$A,$B130,'Kachelofen'!$F:$F)</f>
        <v/>
      </c>
      <c r="H130" s="29">
        <f>SUMIF('Gugelhupf'!$A:$A,$B130,'Gugelhupf'!$F:$F)</f>
        <v/>
      </c>
      <c r="I130" s="29">
        <f>SUMIF('Lucia'!$A:$A,$B130,'Lucia'!$F:$F)</f>
        <v/>
      </c>
      <c r="J130" s="29">
        <f>SUMIF('Bar'!$A:$A,$B130,'Bar'!$F:$F)</f>
        <v/>
      </c>
      <c r="K130" s="30">
        <f>SUM(E130:J130)</f>
        <v/>
      </c>
    </row>
    <row r="131">
      <c r="A131" s="12">
        <f>IF(Artikelstamm!$A131="","",Artikelstamm!$A131)</f>
        <v/>
      </c>
      <c r="B131" s="14">
        <f>IF(Artikelstamm!$B131="","",Artikelstamm!$B131)</f>
        <v/>
      </c>
      <c r="C131" s="14">
        <f>IF(Artikelstamm!$C131="","",Artikelstamm!$C131)</f>
        <v/>
      </c>
      <c r="D131" s="12">
        <f>IF(Artikelstamm!$E131="","",Artikelstamm!$E131)</f>
        <v/>
      </c>
      <c r="E131" s="27">
        <f>SUMIF('Hauptmagazin'!$A:$A,$B131,'Hauptmagazin'!$F:$F)</f>
        <v/>
      </c>
      <c r="F131" s="27">
        <f>SUMIF('Panorama'!$A:$A,$B131,'Panorama'!$F:$F)</f>
        <v/>
      </c>
      <c r="G131" s="27">
        <f>SUMIF('Kachelofen'!$A:$A,$B131,'Kachelofen'!$F:$F)</f>
        <v/>
      </c>
      <c r="H131" s="27">
        <f>SUMIF('Gugelhupf'!$A:$A,$B131,'Gugelhupf'!$F:$F)</f>
        <v/>
      </c>
      <c r="I131" s="27">
        <f>SUMIF('Lucia'!$A:$A,$B131,'Lucia'!$F:$F)</f>
        <v/>
      </c>
      <c r="J131" s="27">
        <f>SUMIF('Bar'!$A:$A,$B131,'Bar'!$F:$F)</f>
        <v/>
      </c>
      <c r="K131" s="28">
        <f>SUM(E131:J131)</f>
        <v/>
      </c>
    </row>
    <row r="132">
      <c r="A132" s="15">
        <f>IF(Artikelstamm!$A132="","",Artikelstamm!$A132)</f>
        <v/>
      </c>
      <c r="B132" s="17">
        <f>IF(Artikelstamm!$B132="","",Artikelstamm!$B132)</f>
        <v/>
      </c>
      <c r="C132" s="17">
        <f>IF(Artikelstamm!$C132="","",Artikelstamm!$C132)</f>
        <v/>
      </c>
      <c r="D132" s="15">
        <f>IF(Artikelstamm!$E132="","",Artikelstamm!$E132)</f>
        <v/>
      </c>
      <c r="E132" s="29">
        <f>SUMIF('Hauptmagazin'!$A:$A,$B132,'Hauptmagazin'!$F:$F)</f>
        <v/>
      </c>
      <c r="F132" s="29">
        <f>SUMIF('Panorama'!$A:$A,$B132,'Panorama'!$F:$F)</f>
        <v/>
      </c>
      <c r="G132" s="29">
        <f>SUMIF('Kachelofen'!$A:$A,$B132,'Kachelofen'!$F:$F)</f>
        <v/>
      </c>
      <c r="H132" s="29">
        <f>SUMIF('Gugelhupf'!$A:$A,$B132,'Gugelhupf'!$F:$F)</f>
        <v/>
      </c>
      <c r="I132" s="29">
        <f>SUMIF('Lucia'!$A:$A,$B132,'Lucia'!$F:$F)</f>
        <v/>
      </c>
      <c r="J132" s="29">
        <f>SUMIF('Bar'!$A:$A,$B132,'Bar'!$F:$F)</f>
        <v/>
      </c>
      <c r="K132" s="30">
        <f>SUM(E132:J132)</f>
        <v/>
      </c>
    </row>
    <row r="133">
      <c r="A133" s="12">
        <f>IF(Artikelstamm!$A133="","",Artikelstamm!$A133)</f>
        <v/>
      </c>
      <c r="B133" s="14">
        <f>IF(Artikelstamm!$B133="","",Artikelstamm!$B133)</f>
        <v/>
      </c>
      <c r="C133" s="14">
        <f>IF(Artikelstamm!$C133="","",Artikelstamm!$C133)</f>
        <v/>
      </c>
      <c r="D133" s="12">
        <f>IF(Artikelstamm!$E133="","",Artikelstamm!$E133)</f>
        <v/>
      </c>
      <c r="E133" s="27">
        <f>SUMIF('Hauptmagazin'!$A:$A,$B133,'Hauptmagazin'!$F:$F)</f>
        <v/>
      </c>
      <c r="F133" s="27">
        <f>SUMIF('Panorama'!$A:$A,$B133,'Panorama'!$F:$F)</f>
        <v/>
      </c>
      <c r="G133" s="27">
        <f>SUMIF('Kachelofen'!$A:$A,$B133,'Kachelofen'!$F:$F)</f>
        <v/>
      </c>
      <c r="H133" s="27">
        <f>SUMIF('Gugelhupf'!$A:$A,$B133,'Gugelhupf'!$F:$F)</f>
        <v/>
      </c>
      <c r="I133" s="27">
        <f>SUMIF('Lucia'!$A:$A,$B133,'Lucia'!$F:$F)</f>
        <v/>
      </c>
      <c r="J133" s="27">
        <f>SUMIF('Bar'!$A:$A,$B133,'Bar'!$F:$F)</f>
        <v/>
      </c>
      <c r="K133" s="28">
        <f>SUM(E133:J133)</f>
        <v/>
      </c>
    </row>
    <row r="134">
      <c r="A134" s="15">
        <f>IF(Artikelstamm!$A134="","",Artikelstamm!$A134)</f>
        <v/>
      </c>
      <c r="B134" s="17">
        <f>IF(Artikelstamm!$B134="","",Artikelstamm!$B134)</f>
        <v/>
      </c>
      <c r="C134" s="17">
        <f>IF(Artikelstamm!$C134="","",Artikelstamm!$C134)</f>
        <v/>
      </c>
      <c r="D134" s="15">
        <f>IF(Artikelstamm!$E134="","",Artikelstamm!$E134)</f>
        <v/>
      </c>
      <c r="E134" s="29">
        <f>SUMIF('Hauptmagazin'!$A:$A,$B134,'Hauptmagazin'!$F:$F)</f>
        <v/>
      </c>
      <c r="F134" s="29">
        <f>SUMIF('Panorama'!$A:$A,$B134,'Panorama'!$F:$F)</f>
        <v/>
      </c>
      <c r="G134" s="29">
        <f>SUMIF('Kachelofen'!$A:$A,$B134,'Kachelofen'!$F:$F)</f>
        <v/>
      </c>
      <c r="H134" s="29">
        <f>SUMIF('Gugelhupf'!$A:$A,$B134,'Gugelhupf'!$F:$F)</f>
        <v/>
      </c>
      <c r="I134" s="29">
        <f>SUMIF('Lucia'!$A:$A,$B134,'Lucia'!$F:$F)</f>
        <v/>
      </c>
      <c r="J134" s="29">
        <f>SUMIF('Bar'!$A:$A,$B134,'Bar'!$F:$F)</f>
        <v/>
      </c>
      <c r="K134" s="30">
        <f>SUM(E134:J134)</f>
        <v/>
      </c>
    </row>
    <row r="135">
      <c r="A135" s="12">
        <f>IF(Artikelstamm!$A135="","",Artikelstamm!$A135)</f>
        <v/>
      </c>
      <c r="B135" s="14">
        <f>IF(Artikelstamm!$B135="","",Artikelstamm!$B135)</f>
        <v/>
      </c>
      <c r="C135" s="14">
        <f>IF(Artikelstamm!$C135="","",Artikelstamm!$C135)</f>
        <v/>
      </c>
      <c r="D135" s="12">
        <f>IF(Artikelstamm!$E135="","",Artikelstamm!$E135)</f>
        <v/>
      </c>
      <c r="E135" s="27">
        <f>SUMIF('Hauptmagazin'!$A:$A,$B135,'Hauptmagazin'!$F:$F)</f>
        <v/>
      </c>
      <c r="F135" s="27">
        <f>SUMIF('Panorama'!$A:$A,$B135,'Panorama'!$F:$F)</f>
        <v/>
      </c>
      <c r="G135" s="27">
        <f>SUMIF('Kachelofen'!$A:$A,$B135,'Kachelofen'!$F:$F)</f>
        <v/>
      </c>
      <c r="H135" s="27">
        <f>SUMIF('Gugelhupf'!$A:$A,$B135,'Gugelhupf'!$F:$F)</f>
        <v/>
      </c>
      <c r="I135" s="27">
        <f>SUMIF('Lucia'!$A:$A,$B135,'Lucia'!$F:$F)</f>
        <v/>
      </c>
      <c r="J135" s="27">
        <f>SUMIF('Bar'!$A:$A,$B135,'Bar'!$F:$F)</f>
        <v/>
      </c>
      <c r="K135" s="28">
        <f>SUM(E135:J135)</f>
        <v/>
      </c>
    </row>
    <row r="136">
      <c r="A136" s="15">
        <f>IF(Artikelstamm!$A136="","",Artikelstamm!$A136)</f>
        <v/>
      </c>
      <c r="B136" s="17">
        <f>IF(Artikelstamm!$B136="","",Artikelstamm!$B136)</f>
        <v/>
      </c>
      <c r="C136" s="17">
        <f>IF(Artikelstamm!$C136="","",Artikelstamm!$C136)</f>
        <v/>
      </c>
      <c r="D136" s="15">
        <f>IF(Artikelstamm!$E136="","",Artikelstamm!$E136)</f>
        <v/>
      </c>
      <c r="E136" s="29">
        <f>SUMIF('Hauptmagazin'!$A:$A,$B136,'Hauptmagazin'!$F:$F)</f>
        <v/>
      </c>
      <c r="F136" s="29">
        <f>SUMIF('Panorama'!$A:$A,$B136,'Panorama'!$F:$F)</f>
        <v/>
      </c>
      <c r="G136" s="29">
        <f>SUMIF('Kachelofen'!$A:$A,$B136,'Kachelofen'!$F:$F)</f>
        <v/>
      </c>
      <c r="H136" s="29">
        <f>SUMIF('Gugelhupf'!$A:$A,$B136,'Gugelhupf'!$F:$F)</f>
        <v/>
      </c>
      <c r="I136" s="29">
        <f>SUMIF('Lucia'!$A:$A,$B136,'Lucia'!$F:$F)</f>
        <v/>
      </c>
      <c r="J136" s="29">
        <f>SUMIF('Bar'!$A:$A,$B136,'Bar'!$F:$F)</f>
        <v/>
      </c>
      <c r="K136" s="30">
        <f>SUM(E136:J136)</f>
        <v/>
      </c>
    </row>
    <row r="137">
      <c r="A137" s="12">
        <f>IF(Artikelstamm!$A137="","",Artikelstamm!$A137)</f>
        <v/>
      </c>
      <c r="B137" s="14">
        <f>IF(Artikelstamm!$B137="","",Artikelstamm!$B137)</f>
        <v/>
      </c>
      <c r="C137" s="14">
        <f>IF(Artikelstamm!$C137="","",Artikelstamm!$C137)</f>
        <v/>
      </c>
      <c r="D137" s="12">
        <f>IF(Artikelstamm!$E137="","",Artikelstamm!$E137)</f>
        <v/>
      </c>
      <c r="E137" s="27">
        <f>SUMIF('Hauptmagazin'!$A:$A,$B137,'Hauptmagazin'!$F:$F)</f>
        <v/>
      </c>
      <c r="F137" s="27">
        <f>SUMIF('Panorama'!$A:$A,$B137,'Panorama'!$F:$F)</f>
        <v/>
      </c>
      <c r="G137" s="27">
        <f>SUMIF('Kachelofen'!$A:$A,$B137,'Kachelofen'!$F:$F)</f>
        <v/>
      </c>
      <c r="H137" s="27">
        <f>SUMIF('Gugelhupf'!$A:$A,$B137,'Gugelhupf'!$F:$F)</f>
        <v/>
      </c>
      <c r="I137" s="27">
        <f>SUMIF('Lucia'!$A:$A,$B137,'Lucia'!$F:$F)</f>
        <v/>
      </c>
      <c r="J137" s="27">
        <f>SUMIF('Bar'!$A:$A,$B137,'Bar'!$F:$F)</f>
        <v/>
      </c>
      <c r="K137" s="28">
        <f>SUM(E137:J137)</f>
        <v/>
      </c>
    </row>
    <row r="138">
      <c r="A138" s="15">
        <f>IF(Artikelstamm!$A138="","",Artikelstamm!$A138)</f>
        <v/>
      </c>
      <c r="B138" s="17">
        <f>IF(Artikelstamm!$B138="","",Artikelstamm!$B138)</f>
        <v/>
      </c>
      <c r="C138" s="17">
        <f>IF(Artikelstamm!$C138="","",Artikelstamm!$C138)</f>
        <v/>
      </c>
      <c r="D138" s="15">
        <f>IF(Artikelstamm!$E138="","",Artikelstamm!$E138)</f>
        <v/>
      </c>
      <c r="E138" s="29">
        <f>SUMIF('Hauptmagazin'!$A:$A,$B138,'Hauptmagazin'!$F:$F)</f>
        <v/>
      </c>
      <c r="F138" s="29">
        <f>SUMIF('Panorama'!$A:$A,$B138,'Panorama'!$F:$F)</f>
        <v/>
      </c>
      <c r="G138" s="29">
        <f>SUMIF('Kachelofen'!$A:$A,$B138,'Kachelofen'!$F:$F)</f>
        <v/>
      </c>
      <c r="H138" s="29">
        <f>SUMIF('Gugelhupf'!$A:$A,$B138,'Gugelhupf'!$F:$F)</f>
        <v/>
      </c>
      <c r="I138" s="29">
        <f>SUMIF('Lucia'!$A:$A,$B138,'Lucia'!$F:$F)</f>
        <v/>
      </c>
      <c r="J138" s="29">
        <f>SUMIF('Bar'!$A:$A,$B138,'Bar'!$F:$F)</f>
        <v/>
      </c>
      <c r="K138" s="30">
        <f>SUM(E138:J138)</f>
        <v/>
      </c>
    </row>
    <row r="139">
      <c r="A139" s="12">
        <f>IF(Artikelstamm!$A139="","",Artikelstamm!$A139)</f>
        <v/>
      </c>
      <c r="B139" s="14">
        <f>IF(Artikelstamm!$B139="","",Artikelstamm!$B139)</f>
        <v/>
      </c>
      <c r="C139" s="14">
        <f>IF(Artikelstamm!$C139="","",Artikelstamm!$C139)</f>
        <v/>
      </c>
      <c r="D139" s="12">
        <f>IF(Artikelstamm!$E139="","",Artikelstamm!$E139)</f>
        <v/>
      </c>
      <c r="E139" s="27">
        <f>SUMIF('Hauptmagazin'!$A:$A,$B139,'Hauptmagazin'!$F:$F)</f>
        <v/>
      </c>
      <c r="F139" s="27">
        <f>SUMIF('Panorama'!$A:$A,$B139,'Panorama'!$F:$F)</f>
        <v/>
      </c>
      <c r="G139" s="27">
        <f>SUMIF('Kachelofen'!$A:$A,$B139,'Kachelofen'!$F:$F)</f>
        <v/>
      </c>
      <c r="H139" s="27">
        <f>SUMIF('Gugelhupf'!$A:$A,$B139,'Gugelhupf'!$F:$F)</f>
        <v/>
      </c>
      <c r="I139" s="27">
        <f>SUMIF('Lucia'!$A:$A,$B139,'Lucia'!$F:$F)</f>
        <v/>
      </c>
      <c r="J139" s="27">
        <f>SUMIF('Bar'!$A:$A,$B139,'Bar'!$F:$F)</f>
        <v/>
      </c>
      <c r="K139" s="28">
        <f>SUM(E139:J139)</f>
        <v/>
      </c>
    </row>
    <row r="140">
      <c r="A140" s="15">
        <f>IF(Artikelstamm!$A140="","",Artikelstamm!$A140)</f>
        <v/>
      </c>
      <c r="B140" s="17">
        <f>IF(Artikelstamm!$B140="","",Artikelstamm!$B140)</f>
        <v/>
      </c>
      <c r="C140" s="17">
        <f>IF(Artikelstamm!$C140="","",Artikelstamm!$C140)</f>
        <v/>
      </c>
      <c r="D140" s="15">
        <f>IF(Artikelstamm!$E140="","",Artikelstamm!$E140)</f>
        <v/>
      </c>
      <c r="E140" s="29">
        <f>SUMIF('Hauptmagazin'!$A:$A,$B140,'Hauptmagazin'!$F:$F)</f>
        <v/>
      </c>
      <c r="F140" s="29">
        <f>SUMIF('Panorama'!$A:$A,$B140,'Panorama'!$F:$F)</f>
        <v/>
      </c>
      <c r="G140" s="29">
        <f>SUMIF('Kachelofen'!$A:$A,$B140,'Kachelofen'!$F:$F)</f>
        <v/>
      </c>
      <c r="H140" s="29">
        <f>SUMIF('Gugelhupf'!$A:$A,$B140,'Gugelhupf'!$F:$F)</f>
        <v/>
      </c>
      <c r="I140" s="29">
        <f>SUMIF('Lucia'!$A:$A,$B140,'Lucia'!$F:$F)</f>
        <v/>
      </c>
      <c r="J140" s="29">
        <f>SUMIF('Bar'!$A:$A,$B140,'Bar'!$F:$F)</f>
        <v/>
      </c>
      <c r="K140" s="30">
        <f>SUM(E140:J140)</f>
        <v/>
      </c>
    </row>
    <row r="141">
      <c r="A141" s="12">
        <f>IF(Artikelstamm!$A141="","",Artikelstamm!$A141)</f>
        <v/>
      </c>
      <c r="B141" s="14">
        <f>IF(Artikelstamm!$B141="","",Artikelstamm!$B141)</f>
        <v/>
      </c>
      <c r="C141" s="14">
        <f>IF(Artikelstamm!$C141="","",Artikelstamm!$C141)</f>
        <v/>
      </c>
      <c r="D141" s="12">
        <f>IF(Artikelstamm!$E141="","",Artikelstamm!$E141)</f>
        <v/>
      </c>
      <c r="E141" s="27">
        <f>SUMIF('Hauptmagazin'!$A:$A,$B141,'Hauptmagazin'!$F:$F)</f>
        <v/>
      </c>
      <c r="F141" s="27">
        <f>SUMIF('Panorama'!$A:$A,$B141,'Panorama'!$F:$F)</f>
        <v/>
      </c>
      <c r="G141" s="27">
        <f>SUMIF('Kachelofen'!$A:$A,$B141,'Kachelofen'!$F:$F)</f>
        <v/>
      </c>
      <c r="H141" s="27">
        <f>SUMIF('Gugelhupf'!$A:$A,$B141,'Gugelhupf'!$F:$F)</f>
        <v/>
      </c>
      <c r="I141" s="27">
        <f>SUMIF('Lucia'!$A:$A,$B141,'Lucia'!$F:$F)</f>
        <v/>
      </c>
      <c r="J141" s="27">
        <f>SUMIF('Bar'!$A:$A,$B141,'Bar'!$F:$F)</f>
        <v/>
      </c>
      <c r="K141" s="28">
        <f>SUM(E141:J141)</f>
        <v/>
      </c>
    </row>
    <row r="142">
      <c r="A142" s="15">
        <f>IF(Artikelstamm!$A142="","",Artikelstamm!$A142)</f>
        <v/>
      </c>
      <c r="B142" s="17">
        <f>IF(Artikelstamm!$B142="","",Artikelstamm!$B142)</f>
        <v/>
      </c>
      <c r="C142" s="17">
        <f>IF(Artikelstamm!$C142="","",Artikelstamm!$C142)</f>
        <v/>
      </c>
      <c r="D142" s="15">
        <f>IF(Artikelstamm!$E142="","",Artikelstamm!$E142)</f>
        <v/>
      </c>
      <c r="E142" s="29">
        <f>SUMIF('Hauptmagazin'!$A:$A,$B142,'Hauptmagazin'!$F:$F)</f>
        <v/>
      </c>
      <c r="F142" s="29">
        <f>SUMIF('Panorama'!$A:$A,$B142,'Panorama'!$F:$F)</f>
        <v/>
      </c>
      <c r="G142" s="29">
        <f>SUMIF('Kachelofen'!$A:$A,$B142,'Kachelofen'!$F:$F)</f>
        <v/>
      </c>
      <c r="H142" s="29">
        <f>SUMIF('Gugelhupf'!$A:$A,$B142,'Gugelhupf'!$F:$F)</f>
        <v/>
      </c>
      <c r="I142" s="29">
        <f>SUMIF('Lucia'!$A:$A,$B142,'Lucia'!$F:$F)</f>
        <v/>
      </c>
      <c r="J142" s="29">
        <f>SUMIF('Bar'!$A:$A,$B142,'Bar'!$F:$F)</f>
        <v/>
      </c>
      <c r="K142" s="30">
        <f>SUM(E142:J142)</f>
        <v/>
      </c>
    </row>
    <row r="143">
      <c r="A143" s="12">
        <f>IF(Artikelstamm!$A143="","",Artikelstamm!$A143)</f>
        <v/>
      </c>
      <c r="B143" s="14">
        <f>IF(Artikelstamm!$B143="","",Artikelstamm!$B143)</f>
        <v/>
      </c>
      <c r="C143" s="14">
        <f>IF(Artikelstamm!$C143="","",Artikelstamm!$C143)</f>
        <v/>
      </c>
      <c r="D143" s="12">
        <f>IF(Artikelstamm!$E143="","",Artikelstamm!$E143)</f>
        <v/>
      </c>
      <c r="E143" s="27">
        <f>SUMIF('Hauptmagazin'!$A:$A,$B143,'Hauptmagazin'!$F:$F)</f>
        <v/>
      </c>
      <c r="F143" s="27">
        <f>SUMIF('Panorama'!$A:$A,$B143,'Panorama'!$F:$F)</f>
        <v/>
      </c>
      <c r="G143" s="27">
        <f>SUMIF('Kachelofen'!$A:$A,$B143,'Kachelofen'!$F:$F)</f>
        <v/>
      </c>
      <c r="H143" s="27">
        <f>SUMIF('Gugelhupf'!$A:$A,$B143,'Gugelhupf'!$F:$F)</f>
        <v/>
      </c>
      <c r="I143" s="27">
        <f>SUMIF('Lucia'!$A:$A,$B143,'Lucia'!$F:$F)</f>
        <v/>
      </c>
      <c r="J143" s="27">
        <f>SUMIF('Bar'!$A:$A,$B143,'Bar'!$F:$F)</f>
        <v/>
      </c>
      <c r="K143" s="28">
        <f>SUM(E143:J143)</f>
        <v/>
      </c>
    </row>
    <row r="144">
      <c r="A144" s="15">
        <f>IF(Artikelstamm!$A144="","",Artikelstamm!$A144)</f>
        <v/>
      </c>
      <c r="B144" s="17">
        <f>IF(Artikelstamm!$B144="","",Artikelstamm!$B144)</f>
        <v/>
      </c>
      <c r="C144" s="17">
        <f>IF(Artikelstamm!$C144="","",Artikelstamm!$C144)</f>
        <v/>
      </c>
      <c r="D144" s="15">
        <f>IF(Artikelstamm!$E144="","",Artikelstamm!$E144)</f>
        <v/>
      </c>
      <c r="E144" s="29">
        <f>SUMIF('Hauptmagazin'!$A:$A,$B144,'Hauptmagazin'!$F:$F)</f>
        <v/>
      </c>
      <c r="F144" s="29">
        <f>SUMIF('Panorama'!$A:$A,$B144,'Panorama'!$F:$F)</f>
        <v/>
      </c>
      <c r="G144" s="29">
        <f>SUMIF('Kachelofen'!$A:$A,$B144,'Kachelofen'!$F:$F)</f>
        <v/>
      </c>
      <c r="H144" s="29">
        <f>SUMIF('Gugelhupf'!$A:$A,$B144,'Gugelhupf'!$F:$F)</f>
        <v/>
      </c>
      <c r="I144" s="29">
        <f>SUMIF('Lucia'!$A:$A,$B144,'Lucia'!$F:$F)</f>
        <v/>
      </c>
      <c r="J144" s="29">
        <f>SUMIF('Bar'!$A:$A,$B144,'Bar'!$F:$F)</f>
        <v/>
      </c>
      <c r="K144" s="30">
        <f>SUM(E144:J144)</f>
        <v/>
      </c>
    </row>
    <row r="145">
      <c r="A145" s="12">
        <f>IF(Artikelstamm!$A145="","",Artikelstamm!$A145)</f>
        <v/>
      </c>
      <c r="B145" s="14">
        <f>IF(Artikelstamm!$B145="","",Artikelstamm!$B145)</f>
        <v/>
      </c>
      <c r="C145" s="14">
        <f>IF(Artikelstamm!$C145="","",Artikelstamm!$C145)</f>
        <v/>
      </c>
      <c r="D145" s="12">
        <f>IF(Artikelstamm!$E145="","",Artikelstamm!$E145)</f>
        <v/>
      </c>
      <c r="E145" s="27">
        <f>SUMIF('Hauptmagazin'!$A:$A,$B145,'Hauptmagazin'!$F:$F)</f>
        <v/>
      </c>
      <c r="F145" s="27">
        <f>SUMIF('Panorama'!$A:$A,$B145,'Panorama'!$F:$F)</f>
        <v/>
      </c>
      <c r="G145" s="27">
        <f>SUMIF('Kachelofen'!$A:$A,$B145,'Kachelofen'!$F:$F)</f>
        <v/>
      </c>
      <c r="H145" s="27">
        <f>SUMIF('Gugelhupf'!$A:$A,$B145,'Gugelhupf'!$F:$F)</f>
        <v/>
      </c>
      <c r="I145" s="27">
        <f>SUMIF('Lucia'!$A:$A,$B145,'Lucia'!$F:$F)</f>
        <v/>
      </c>
      <c r="J145" s="27">
        <f>SUMIF('Bar'!$A:$A,$B145,'Bar'!$F:$F)</f>
        <v/>
      </c>
      <c r="K145" s="28">
        <f>SUM(E145:J145)</f>
        <v/>
      </c>
    </row>
    <row r="146">
      <c r="A146" s="15">
        <f>IF(Artikelstamm!$A146="","",Artikelstamm!$A146)</f>
        <v/>
      </c>
      <c r="B146" s="17">
        <f>IF(Artikelstamm!$B146="","",Artikelstamm!$B146)</f>
        <v/>
      </c>
      <c r="C146" s="17">
        <f>IF(Artikelstamm!$C146="","",Artikelstamm!$C146)</f>
        <v/>
      </c>
      <c r="D146" s="15">
        <f>IF(Artikelstamm!$E146="","",Artikelstamm!$E146)</f>
        <v/>
      </c>
      <c r="E146" s="29">
        <f>SUMIF('Hauptmagazin'!$A:$A,$B146,'Hauptmagazin'!$F:$F)</f>
        <v/>
      </c>
      <c r="F146" s="29">
        <f>SUMIF('Panorama'!$A:$A,$B146,'Panorama'!$F:$F)</f>
        <v/>
      </c>
      <c r="G146" s="29">
        <f>SUMIF('Kachelofen'!$A:$A,$B146,'Kachelofen'!$F:$F)</f>
        <v/>
      </c>
      <c r="H146" s="29">
        <f>SUMIF('Gugelhupf'!$A:$A,$B146,'Gugelhupf'!$F:$F)</f>
        <v/>
      </c>
      <c r="I146" s="29">
        <f>SUMIF('Lucia'!$A:$A,$B146,'Lucia'!$F:$F)</f>
        <v/>
      </c>
      <c r="J146" s="29">
        <f>SUMIF('Bar'!$A:$A,$B146,'Bar'!$F:$F)</f>
        <v/>
      </c>
      <c r="K146" s="30">
        <f>SUM(E146:J146)</f>
        <v/>
      </c>
    </row>
    <row r="147">
      <c r="A147" s="12">
        <f>IF(Artikelstamm!$A147="","",Artikelstamm!$A147)</f>
        <v/>
      </c>
      <c r="B147" s="14">
        <f>IF(Artikelstamm!$B147="","",Artikelstamm!$B147)</f>
        <v/>
      </c>
      <c r="C147" s="14">
        <f>IF(Artikelstamm!$C147="","",Artikelstamm!$C147)</f>
        <v/>
      </c>
      <c r="D147" s="12">
        <f>IF(Artikelstamm!$E147="","",Artikelstamm!$E147)</f>
        <v/>
      </c>
      <c r="E147" s="27">
        <f>SUMIF('Hauptmagazin'!$A:$A,$B147,'Hauptmagazin'!$F:$F)</f>
        <v/>
      </c>
      <c r="F147" s="27">
        <f>SUMIF('Panorama'!$A:$A,$B147,'Panorama'!$F:$F)</f>
        <v/>
      </c>
      <c r="G147" s="27">
        <f>SUMIF('Kachelofen'!$A:$A,$B147,'Kachelofen'!$F:$F)</f>
        <v/>
      </c>
      <c r="H147" s="27">
        <f>SUMIF('Gugelhupf'!$A:$A,$B147,'Gugelhupf'!$F:$F)</f>
        <v/>
      </c>
      <c r="I147" s="27">
        <f>SUMIF('Lucia'!$A:$A,$B147,'Lucia'!$F:$F)</f>
        <v/>
      </c>
      <c r="J147" s="27">
        <f>SUMIF('Bar'!$A:$A,$B147,'Bar'!$F:$F)</f>
        <v/>
      </c>
      <c r="K147" s="28">
        <f>SUM(E147:J147)</f>
        <v/>
      </c>
    </row>
    <row r="148">
      <c r="A148" s="15">
        <f>IF(Artikelstamm!$A148="","",Artikelstamm!$A148)</f>
        <v/>
      </c>
      <c r="B148" s="17">
        <f>IF(Artikelstamm!$B148="","",Artikelstamm!$B148)</f>
        <v/>
      </c>
      <c r="C148" s="17">
        <f>IF(Artikelstamm!$C148="","",Artikelstamm!$C148)</f>
        <v/>
      </c>
      <c r="D148" s="15">
        <f>IF(Artikelstamm!$E148="","",Artikelstamm!$E148)</f>
        <v/>
      </c>
      <c r="E148" s="29">
        <f>SUMIF('Hauptmagazin'!$A:$A,$B148,'Hauptmagazin'!$F:$F)</f>
        <v/>
      </c>
      <c r="F148" s="29">
        <f>SUMIF('Panorama'!$A:$A,$B148,'Panorama'!$F:$F)</f>
        <v/>
      </c>
      <c r="G148" s="29">
        <f>SUMIF('Kachelofen'!$A:$A,$B148,'Kachelofen'!$F:$F)</f>
        <v/>
      </c>
      <c r="H148" s="29">
        <f>SUMIF('Gugelhupf'!$A:$A,$B148,'Gugelhupf'!$F:$F)</f>
        <v/>
      </c>
      <c r="I148" s="29">
        <f>SUMIF('Lucia'!$A:$A,$B148,'Lucia'!$F:$F)</f>
        <v/>
      </c>
      <c r="J148" s="29">
        <f>SUMIF('Bar'!$A:$A,$B148,'Bar'!$F:$F)</f>
        <v/>
      </c>
      <c r="K148" s="30">
        <f>SUM(E148:J148)</f>
        <v/>
      </c>
    </row>
    <row r="149">
      <c r="A149" s="12">
        <f>IF(Artikelstamm!$A149="","",Artikelstamm!$A149)</f>
        <v/>
      </c>
      <c r="B149" s="14">
        <f>IF(Artikelstamm!$B149="","",Artikelstamm!$B149)</f>
        <v/>
      </c>
      <c r="C149" s="14">
        <f>IF(Artikelstamm!$C149="","",Artikelstamm!$C149)</f>
        <v/>
      </c>
      <c r="D149" s="12">
        <f>IF(Artikelstamm!$E149="","",Artikelstamm!$E149)</f>
        <v/>
      </c>
      <c r="E149" s="27">
        <f>SUMIF('Hauptmagazin'!$A:$A,$B149,'Hauptmagazin'!$F:$F)</f>
        <v/>
      </c>
      <c r="F149" s="27">
        <f>SUMIF('Panorama'!$A:$A,$B149,'Panorama'!$F:$F)</f>
        <v/>
      </c>
      <c r="G149" s="27">
        <f>SUMIF('Kachelofen'!$A:$A,$B149,'Kachelofen'!$F:$F)</f>
        <v/>
      </c>
      <c r="H149" s="27">
        <f>SUMIF('Gugelhupf'!$A:$A,$B149,'Gugelhupf'!$F:$F)</f>
        <v/>
      </c>
      <c r="I149" s="27">
        <f>SUMIF('Lucia'!$A:$A,$B149,'Lucia'!$F:$F)</f>
        <v/>
      </c>
      <c r="J149" s="27">
        <f>SUMIF('Bar'!$A:$A,$B149,'Bar'!$F:$F)</f>
        <v/>
      </c>
      <c r="K149" s="28">
        <f>SUM(E149:J149)</f>
        <v/>
      </c>
    </row>
    <row r="150">
      <c r="A150" s="15">
        <f>IF(Artikelstamm!$A150="","",Artikelstamm!$A150)</f>
        <v/>
      </c>
      <c r="B150" s="17">
        <f>IF(Artikelstamm!$B150="","",Artikelstamm!$B150)</f>
        <v/>
      </c>
      <c r="C150" s="17">
        <f>IF(Artikelstamm!$C150="","",Artikelstamm!$C150)</f>
        <v/>
      </c>
      <c r="D150" s="15">
        <f>IF(Artikelstamm!$E150="","",Artikelstamm!$E150)</f>
        <v/>
      </c>
      <c r="E150" s="29">
        <f>SUMIF('Hauptmagazin'!$A:$A,$B150,'Hauptmagazin'!$F:$F)</f>
        <v/>
      </c>
      <c r="F150" s="29">
        <f>SUMIF('Panorama'!$A:$A,$B150,'Panorama'!$F:$F)</f>
        <v/>
      </c>
      <c r="G150" s="29">
        <f>SUMIF('Kachelofen'!$A:$A,$B150,'Kachelofen'!$F:$F)</f>
        <v/>
      </c>
      <c r="H150" s="29">
        <f>SUMIF('Gugelhupf'!$A:$A,$B150,'Gugelhupf'!$F:$F)</f>
        <v/>
      </c>
      <c r="I150" s="29">
        <f>SUMIF('Lucia'!$A:$A,$B150,'Lucia'!$F:$F)</f>
        <v/>
      </c>
      <c r="J150" s="29">
        <f>SUMIF('Bar'!$A:$A,$B150,'Bar'!$F:$F)</f>
        <v/>
      </c>
      <c r="K150" s="30">
        <f>SUM(E150:J150)</f>
        <v/>
      </c>
    </row>
    <row r="151">
      <c r="A151" s="12">
        <f>IF(Artikelstamm!$A151="","",Artikelstamm!$A151)</f>
        <v/>
      </c>
      <c r="B151" s="14">
        <f>IF(Artikelstamm!$B151="","",Artikelstamm!$B151)</f>
        <v/>
      </c>
      <c r="C151" s="14">
        <f>IF(Artikelstamm!$C151="","",Artikelstamm!$C151)</f>
        <v/>
      </c>
      <c r="D151" s="12">
        <f>IF(Artikelstamm!$E151="","",Artikelstamm!$E151)</f>
        <v/>
      </c>
      <c r="E151" s="27">
        <f>SUMIF('Hauptmagazin'!$A:$A,$B151,'Hauptmagazin'!$F:$F)</f>
        <v/>
      </c>
      <c r="F151" s="27">
        <f>SUMIF('Panorama'!$A:$A,$B151,'Panorama'!$F:$F)</f>
        <v/>
      </c>
      <c r="G151" s="27">
        <f>SUMIF('Kachelofen'!$A:$A,$B151,'Kachelofen'!$F:$F)</f>
        <v/>
      </c>
      <c r="H151" s="27">
        <f>SUMIF('Gugelhupf'!$A:$A,$B151,'Gugelhupf'!$F:$F)</f>
        <v/>
      </c>
      <c r="I151" s="27">
        <f>SUMIF('Lucia'!$A:$A,$B151,'Lucia'!$F:$F)</f>
        <v/>
      </c>
      <c r="J151" s="27">
        <f>SUMIF('Bar'!$A:$A,$B151,'Bar'!$F:$F)</f>
        <v/>
      </c>
      <c r="K151" s="28">
        <f>SUM(E151:J151)</f>
        <v/>
      </c>
    </row>
    <row r="152">
      <c r="A152" s="15">
        <f>IF(Artikelstamm!$A152="","",Artikelstamm!$A152)</f>
        <v/>
      </c>
      <c r="B152" s="17">
        <f>IF(Artikelstamm!$B152="","",Artikelstamm!$B152)</f>
        <v/>
      </c>
      <c r="C152" s="17">
        <f>IF(Artikelstamm!$C152="","",Artikelstamm!$C152)</f>
        <v/>
      </c>
      <c r="D152" s="15">
        <f>IF(Artikelstamm!$E152="","",Artikelstamm!$E152)</f>
        <v/>
      </c>
      <c r="E152" s="29">
        <f>SUMIF('Hauptmagazin'!$A:$A,$B152,'Hauptmagazin'!$F:$F)</f>
        <v/>
      </c>
      <c r="F152" s="29">
        <f>SUMIF('Panorama'!$A:$A,$B152,'Panorama'!$F:$F)</f>
        <v/>
      </c>
      <c r="G152" s="29">
        <f>SUMIF('Kachelofen'!$A:$A,$B152,'Kachelofen'!$F:$F)</f>
        <v/>
      </c>
      <c r="H152" s="29">
        <f>SUMIF('Gugelhupf'!$A:$A,$B152,'Gugelhupf'!$F:$F)</f>
        <v/>
      </c>
      <c r="I152" s="29">
        <f>SUMIF('Lucia'!$A:$A,$B152,'Lucia'!$F:$F)</f>
        <v/>
      </c>
      <c r="J152" s="29">
        <f>SUMIF('Bar'!$A:$A,$B152,'Bar'!$F:$F)</f>
        <v/>
      </c>
      <c r="K152" s="30">
        <f>SUM(E152:J152)</f>
        <v/>
      </c>
    </row>
    <row r="153">
      <c r="A153" s="12">
        <f>IF(Artikelstamm!$A153="","",Artikelstamm!$A153)</f>
        <v/>
      </c>
      <c r="B153" s="14">
        <f>IF(Artikelstamm!$B153="","",Artikelstamm!$B153)</f>
        <v/>
      </c>
      <c r="C153" s="14">
        <f>IF(Artikelstamm!$C153="","",Artikelstamm!$C153)</f>
        <v/>
      </c>
      <c r="D153" s="12">
        <f>IF(Artikelstamm!$E153="","",Artikelstamm!$E153)</f>
        <v/>
      </c>
      <c r="E153" s="27">
        <f>SUMIF('Hauptmagazin'!$A:$A,$B153,'Hauptmagazin'!$F:$F)</f>
        <v/>
      </c>
      <c r="F153" s="27">
        <f>SUMIF('Panorama'!$A:$A,$B153,'Panorama'!$F:$F)</f>
        <v/>
      </c>
      <c r="G153" s="27">
        <f>SUMIF('Kachelofen'!$A:$A,$B153,'Kachelofen'!$F:$F)</f>
        <v/>
      </c>
      <c r="H153" s="27">
        <f>SUMIF('Gugelhupf'!$A:$A,$B153,'Gugelhupf'!$F:$F)</f>
        <v/>
      </c>
      <c r="I153" s="27">
        <f>SUMIF('Lucia'!$A:$A,$B153,'Lucia'!$F:$F)</f>
        <v/>
      </c>
      <c r="J153" s="27">
        <f>SUMIF('Bar'!$A:$A,$B153,'Bar'!$F:$F)</f>
        <v/>
      </c>
      <c r="K153" s="28">
        <f>SUM(E153:J153)</f>
        <v/>
      </c>
    </row>
    <row r="154">
      <c r="A154" s="15">
        <f>IF(Artikelstamm!$A154="","",Artikelstamm!$A154)</f>
        <v/>
      </c>
      <c r="B154" s="17">
        <f>IF(Artikelstamm!$B154="","",Artikelstamm!$B154)</f>
        <v/>
      </c>
      <c r="C154" s="17">
        <f>IF(Artikelstamm!$C154="","",Artikelstamm!$C154)</f>
        <v/>
      </c>
      <c r="D154" s="15">
        <f>IF(Artikelstamm!$E154="","",Artikelstamm!$E154)</f>
        <v/>
      </c>
      <c r="E154" s="29">
        <f>SUMIF('Hauptmagazin'!$A:$A,$B154,'Hauptmagazin'!$F:$F)</f>
        <v/>
      </c>
      <c r="F154" s="29">
        <f>SUMIF('Panorama'!$A:$A,$B154,'Panorama'!$F:$F)</f>
        <v/>
      </c>
      <c r="G154" s="29">
        <f>SUMIF('Kachelofen'!$A:$A,$B154,'Kachelofen'!$F:$F)</f>
        <v/>
      </c>
      <c r="H154" s="29">
        <f>SUMIF('Gugelhupf'!$A:$A,$B154,'Gugelhupf'!$F:$F)</f>
        <v/>
      </c>
      <c r="I154" s="29">
        <f>SUMIF('Lucia'!$A:$A,$B154,'Lucia'!$F:$F)</f>
        <v/>
      </c>
      <c r="J154" s="29">
        <f>SUMIF('Bar'!$A:$A,$B154,'Bar'!$F:$F)</f>
        <v/>
      </c>
      <c r="K154" s="30">
        <f>SUM(E154:J154)</f>
        <v/>
      </c>
    </row>
    <row r="155">
      <c r="A155" s="12">
        <f>IF(Artikelstamm!$A155="","",Artikelstamm!$A155)</f>
        <v/>
      </c>
      <c r="B155" s="14">
        <f>IF(Artikelstamm!$B155="","",Artikelstamm!$B155)</f>
        <v/>
      </c>
      <c r="C155" s="14">
        <f>IF(Artikelstamm!$C155="","",Artikelstamm!$C155)</f>
        <v/>
      </c>
      <c r="D155" s="12">
        <f>IF(Artikelstamm!$E155="","",Artikelstamm!$E155)</f>
        <v/>
      </c>
      <c r="E155" s="27">
        <f>SUMIF('Hauptmagazin'!$A:$A,$B155,'Hauptmagazin'!$F:$F)</f>
        <v/>
      </c>
      <c r="F155" s="27">
        <f>SUMIF('Panorama'!$A:$A,$B155,'Panorama'!$F:$F)</f>
        <v/>
      </c>
      <c r="G155" s="27">
        <f>SUMIF('Kachelofen'!$A:$A,$B155,'Kachelofen'!$F:$F)</f>
        <v/>
      </c>
      <c r="H155" s="27">
        <f>SUMIF('Gugelhupf'!$A:$A,$B155,'Gugelhupf'!$F:$F)</f>
        <v/>
      </c>
      <c r="I155" s="27">
        <f>SUMIF('Lucia'!$A:$A,$B155,'Lucia'!$F:$F)</f>
        <v/>
      </c>
      <c r="J155" s="27">
        <f>SUMIF('Bar'!$A:$A,$B155,'Bar'!$F:$F)</f>
        <v/>
      </c>
      <c r="K155" s="28">
        <f>SUM(E155:J155)</f>
        <v/>
      </c>
    </row>
    <row r="156">
      <c r="A156" s="15">
        <f>IF(Artikelstamm!$A156="","",Artikelstamm!$A156)</f>
        <v/>
      </c>
      <c r="B156" s="17">
        <f>IF(Artikelstamm!$B156="","",Artikelstamm!$B156)</f>
        <v/>
      </c>
      <c r="C156" s="17">
        <f>IF(Artikelstamm!$C156="","",Artikelstamm!$C156)</f>
        <v/>
      </c>
      <c r="D156" s="15">
        <f>IF(Artikelstamm!$E156="","",Artikelstamm!$E156)</f>
        <v/>
      </c>
      <c r="E156" s="29">
        <f>SUMIF('Hauptmagazin'!$A:$A,$B156,'Hauptmagazin'!$F:$F)</f>
        <v/>
      </c>
      <c r="F156" s="29">
        <f>SUMIF('Panorama'!$A:$A,$B156,'Panorama'!$F:$F)</f>
        <v/>
      </c>
      <c r="G156" s="29">
        <f>SUMIF('Kachelofen'!$A:$A,$B156,'Kachelofen'!$F:$F)</f>
        <v/>
      </c>
      <c r="H156" s="29">
        <f>SUMIF('Gugelhupf'!$A:$A,$B156,'Gugelhupf'!$F:$F)</f>
        <v/>
      </c>
      <c r="I156" s="29">
        <f>SUMIF('Lucia'!$A:$A,$B156,'Lucia'!$F:$F)</f>
        <v/>
      </c>
      <c r="J156" s="29">
        <f>SUMIF('Bar'!$A:$A,$B156,'Bar'!$F:$F)</f>
        <v/>
      </c>
      <c r="K156" s="30">
        <f>SUM(E156:J156)</f>
        <v/>
      </c>
    </row>
    <row r="157">
      <c r="A157" s="12">
        <f>IF(Artikelstamm!$A157="","",Artikelstamm!$A157)</f>
        <v/>
      </c>
      <c r="B157" s="14">
        <f>IF(Artikelstamm!$B157="","",Artikelstamm!$B157)</f>
        <v/>
      </c>
      <c r="C157" s="14">
        <f>IF(Artikelstamm!$C157="","",Artikelstamm!$C157)</f>
        <v/>
      </c>
      <c r="D157" s="12">
        <f>IF(Artikelstamm!$E157="","",Artikelstamm!$E157)</f>
        <v/>
      </c>
      <c r="E157" s="27">
        <f>SUMIF('Hauptmagazin'!$A:$A,$B157,'Hauptmagazin'!$F:$F)</f>
        <v/>
      </c>
      <c r="F157" s="27">
        <f>SUMIF('Panorama'!$A:$A,$B157,'Panorama'!$F:$F)</f>
        <v/>
      </c>
      <c r="G157" s="27">
        <f>SUMIF('Kachelofen'!$A:$A,$B157,'Kachelofen'!$F:$F)</f>
        <v/>
      </c>
      <c r="H157" s="27">
        <f>SUMIF('Gugelhupf'!$A:$A,$B157,'Gugelhupf'!$F:$F)</f>
        <v/>
      </c>
      <c r="I157" s="27">
        <f>SUMIF('Lucia'!$A:$A,$B157,'Lucia'!$F:$F)</f>
        <v/>
      </c>
      <c r="J157" s="27">
        <f>SUMIF('Bar'!$A:$A,$B157,'Bar'!$F:$F)</f>
        <v/>
      </c>
      <c r="K157" s="28">
        <f>SUM(E157:J157)</f>
        <v/>
      </c>
    </row>
    <row r="158">
      <c r="A158" s="15">
        <f>IF(Artikelstamm!$A158="","",Artikelstamm!$A158)</f>
        <v/>
      </c>
      <c r="B158" s="17">
        <f>IF(Artikelstamm!$B158="","",Artikelstamm!$B158)</f>
        <v/>
      </c>
      <c r="C158" s="17">
        <f>IF(Artikelstamm!$C158="","",Artikelstamm!$C158)</f>
        <v/>
      </c>
      <c r="D158" s="15">
        <f>IF(Artikelstamm!$E158="","",Artikelstamm!$E158)</f>
        <v/>
      </c>
      <c r="E158" s="29">
        <f>SUMIF('Hauptmagazin'!$A:$A,$B158,'Hauptmagazin'!$F:$F)</f>
        <v/>
      </c>
      <c r="F158" s="29">
        <f>SUMIF('Panorama'!$A:$A,$B158,'Panorama'!$F:$F)</f>
        <v/>
      </c>
      <c r="G158" s="29">
        <f>SUMIF('Kachelofen'!$A:$A,$B158,'Kachelofen'!$F:$F)</f>
        <v/>
      </c>
      <c r="H158" s="29">
        <f>SUMIF('Gugelhupf'!$A:$A,$B158,'Gugelhupf'!$F:$F)</f>
        <v/>
      </c>
      <c r="I158" s="29">
        <f>SUMIF('Lucia'!$A:$A,$B158,'Lucia'!$F:$F)</f>
        <v/>
      </c>
      <c r="J158" s="29">
        <f>SUMIF('Bar'!$A:$A,$B158,'Bar'!$F:$F)</f>
        <v/>
      </c>
      <c r="K158" s="30">
        <f>SUM(E158:J158)</f>
        <v/>
      </c>
    </row>
    <row r="159">
      <c r="A159" s="12">
        <f>IF(Artikelstamm!$A159="","",Artikelstamm!$A159)</f>
        <v/>
      </c>
      <c r="B159" s="14">
        <f>IF(Artikelstamm!$B159="","",Artikelstamm!$B159)</f>
        <v/>
      </c>
      <c r="C159" s="14">
        <f>IF(Artikelstamm!$C159="","",Artikelstamm!$C159)</f>
        <v/>
      </c>
      <c r="D159" s="12">
        <f>IF(Artikelstamm!$E159="","",Artikelstamm!$E159)</f>
        <v/>
      </c>
      <c r="E159" s="27">
        <f>SUMIF('Hauptmagazin'!$A:$A,$B159,'Hauptmagazin'!$F:$F)</f>
        <v/>
      </c>
      <c r="F159" s="27">
        <f>SUMIF('Panorama'!$A:$A,$B159,'Panorama'!$F:$F)</f>
        <v/>
      </c>
      <c r="G159" s="27">
        <f>SUMIF('Kachelofen'!$A:$A,$B159,'Kachelofen'!$F:$F)</f>
        <v/>
      </c>
      <c r="H159" s="27">
        <f>SUMIF('Gugelhupf'!$A:$A,$B159,'Gugelhupf'!$F:$F)</f>
        <v/>
      </c>
      <c r="I159" s="27">
        <f>SUMIF('Lucia'!$A:$A,$B159,'Lucia'!$F:$F)</f>
        <v/>
      </c>
      <c r="J159" s="27">
        <f>SUMIF('Bar'!$A:$A,$B159,'Bar'!$F:$F)</f>
        <v/>
      </c>
      <c r="K159" s="28">
        <f>SUM(E159:J159)</f>
        <v/>
      </c>
    </row>
    <row r="160">
      <c r="A160" s="15">
        <f>IF(Artikelstamm!$A160="","",Artikelstamm!$A160)</f>
        <v/>
      </c>
      <c r="B160" s="17">
        <f>IF(Artikelstamm!$B160="","",Artikelstamm!$B160)</f>
        <v/>
      </c>
      <c r="C160" s="17">
        <f>IF(Artikelstamm!$C160="","",Artikelstamm!$C160)</f>
        <v/>
      </c>
      <c r="D160" s="15">
        <f>IF(Artikelstamm!$E160="","",Artikelstamm!$E160)</f>
        <v/>
      </c>
      <c r="E160" s="29">
        <f>SUMIF('Hauptmagazin'!$A:$A,$B160,'Hauptmagazin'!$F:$F)</f>
        <v/>
      </c>
      <c r="F160" s="29">
        <f>SUMIF('Panorama'!$A:$A,$B160,'Panorama'!$F:$F)</f>
        <v/>
      </c>
      <c r="G160" s="29">
        <f>SUMIF('Kachelofen'!$A:$A,$B160,'Kachelofen'!$F:$F)</f>
        <v/>
      </c>
      <c r="H160" s="29">
        <f>SUMIF('Gugelhupf'!$A:$A,$B160,'Gugelhupf'!$F:$F)</f>
        <v/>
      </c>
      <c r="I160" s="29">
        <f>SUMIF('Lucia'!$A:$A,$B160,'Lucia'!$F:$F)</f>
        <v/>
      </c>
      <c r="J160" s="29">
        <f>SUMIF('Bar'!$A:$A,$B160,'Bar'!$F:$F)</f>
        <v/>
      </c>
      <c r="K160" s="30">
        <f>SUM(E160:J160)</f>
        <v/>
      </c>
    </row>
    <row r="161">
      <c r="A161" s="12">
        <f>IF(Artikelstamm!$A161="","",Artikelstamm!$A161)</f>
        <v/>
      </c>
      <c r="B161" s="14">
        <f>IF(Artikelstamm!$B161="","",Artikelstamm!$B161)</f>
        <v/>
      </c>
      <c r="C161" s="14">
        <f>IF(Artikelstamm!$C161="","",Artikelstamm!$C161)</f>
        <v/>
      </c>
      <c r="D161" s="12">
        <f>IF(Artikelstamm!$E161="","",Artikelstamm!$E161)</f>
        <v/>
      </c>
      <c r="E161" s="27">
        <f>SUMIF('Hauptmagazin'!$A:$A,$B161,'Hauptmagazin'!$F:$F)</f>
        <v/>
      </c>
      <c r="F161" s="27">
        <f>SUMIF('Panorama'!$A:$A,$B161,'Panorama'!$F:$F)</f>
        <v/>
      </c>
      <c r="G161" s="27">
        <f>SUMIF('Kachelofen'!$A:$A,$B161,'Kachelofen'!$F:$F)</f>
        <v/>
      </c>
      <c r="H161" s="27">
        <f>SUMIF('Gugelhupf'!$A:$A,$B161,'Gugelhupf'!$F:$F)</f>
        <v/>
      </c>
      <c r="I161" s="27">
        <f>SUMIF('Lucia'!$A:$A,$B161,'Lucia'!$F:$F)</f>
        <v/>
      </c>
      <c r="J161" s="27">
        <f>SUMIF('Bar'!$A:$A,$B161,'Bar'!$F:$F)</f>
        <v/>
      </c>
      <c r="K161" s="28">
        <f>SUM(E161:J161)</f>
        <v/>
      </c>
    </row>
    <row r="162">
      <c r="A162" s="15">
        <f>IF(Artikelstamm!$A162="","",Artikelstamm!$A162)</f>
        <v/>
      </c>
      <c r="B162" s="17">
        <f>IF(Artikelstamm!$B162="","",Artikelstamm!$B162)</f>
        <v/>
      </c>
      <c r="C162" s="17">
        <f>IF(Artikelstamm!$C162="","",Artikelstamm!$C162)</f>
        <v/>
      </c>
      <c r="D162" s="15">
        <f>IF(Artikelstamm!$E162="","",Artikelstamm!$E162)</f>
        <v/>
      </c>
      <c r="E162" s="29">
        <f>SUMIF('Hauptmagazin'!$A:$A,$B162,'Hauptmagazin'!$F:$F)</f>
        <v/>
      </c>
      <c r="F162" s="29">
        <f>SUMIF('Panorama'!$A:$A,$B162,'Panorama'!$F:$F)</f>
        <v/>
      </c>
      <c r="G162" s="29">
        <f>SUMIF('Kachelofen'!$A:$A,$B162,'Kachelofen'!$F:$F)</f>
        <v/>
      </c>
      <c r="H162" s="29">
        <f>SUMIF('Gugelhupf'!$A:$A,$B162,'Gugelhupf'!$F:$F)</f>
        <v/>
      </c>
      <c r="I162" s="29">
        <f>SUMIF('Lucia'!$A:$A,$B162,'Lucia'!$F:$F)</f>
        <v/>
      </c>
      <c r="J162" s="29">
        <f>SUMIF('Bar'!$A:$A,$B162,'Bar'!$F:$F)</f>
        <v/>
      </c>
      <c r="K162" s="30">
        <f>SUM(E162:J162)</f>
        <v/>
      </c>
    </row>
    <row r="163">
      <c r="A163" s="12">
        <f>IF(Artikelstamm!$A163="","",Artikelstamm!$A163)</f>
        <v/>
      </c>
      <c r="B163" s="14">
        <f>IF(Artikelstamm!$B163="","",Artikelstamm!$B163)</f>
        <v/>
      </c>
      <c r="C163" s="14">
        <f>IF(Artikelstamm!$C163="","",Artikelstamm!$C163)</f>
        <v/>
      </c>
      <c r="D163" s="12">
        <f>IF(Artikelstamm!$E163="","",Artikelstamm!$E163)</f>
        <v/>
      </c>
      <c r="E163" s="27">
        <f>SUMIF('Hauptmagazin'!$A:$A,$B163,'Hauptmagazin'!$F:$F)</f>
        <v/>
      </c>
      <c r="F163" s="27">
        <f>SUMIF('Panorama'!$A:$A,$B163,'Panorama'!$F:$F)</f>
        <v/>
      </c>
      <c r="G163" s="27">
        <f>SUMIF('Kachelofen'!$A:$A,$B163,'Kachelofen'!$F:$F)</f>
        <v/>
      </c>
      <c r="H163" s="27">
        <f>SUMIF('Gugelhupf'!$A:$A,$B163,'Gugelhupf'!$F:$F)</f>
        <v/>
      </c>
      <c r="I163" s="27">
        <f>SUMIF('Lucia'!$A:$A,$B163,'Lucia'!$F:$F)</f>
        <v/>
      </c>
      <c r="J163" s="27">
        <f>SUMIF('Bar'!$A:$A,$B163,'Bar'!$F:$F)</f>
        <v/>
      </c>
      <c r="K163" s="28">
        <f>SUM(E163:J163)</f>
        <v/>
      </c>
    </row>
    <row r="164">
      <c r="A164" s="15">
        <f>IF(Artikelstamm!$A164="","",Artikelstamm!$A164)</f>
        <v/>
      </c>
      <c r="B164" s="17">
        <f>IF(Artikelstamm!$B164="","",Artikelstamm!$B164)</f>
        <v/>
      </c>
      <c r="C164" s="17">
        <f>IF(Artikelstamm!$C164="","",Artikelstamm!$C164)</f>
        <v/>
      </c>
      <c r="D164" s="15">
        <f>IF(Artikelstamm!$E164="","",Artikelstamm!$E164)</f>
        <v/>
      </c>
      <c r="E164" s="29">
        <f>SUMIF('Hauptmagazin'!$A:$A,$B164,'Hauptmagazin'!$F:$F)</f>
        <v/>
      </c>
      <c r="F164" s="29">
        <f>SUMIF('Panorama'!$A:$A,$B164,'Panorama'!$F:$F)</f>
        <v/>
      </c>
      <c r="G164" s="29">
        <f>SUMIF('Kachelofen'!$A:$A,$B164,'Kachelofen'!$F:$F)</f>
        <v/>
      </c>
      <c r="H164" s="29">
        <f>SUMIF('Gugelhupf'!$A:$A,$B164,'Gugelhupf'!$F:$F)</f>
        <v/>
      </c>
      <c r="I164" s="29">
        <f>SUMIF('Lucia'!$A:$A,$B164,'Lucia'!$F:$F)</f>
        <v/>
      </c>
      <c r="J164" s="29">
        <f>SUMIF('Bar'!$A:$A,$B164,'Bar'!$F:$F)</f>
        <v/>
      </c>
      <c r="K164" s="30">
        <f>SUM(E164:J164)</f>
        <v/>
      </c>
    </row>
    <row r="165">
      <c r="A165" s="12">
        <f>IF(Artikelstamm!$A165="","",Artikelstamm!$A165)</f>
        <v/>
      </c>
      <c r="B165" s="14">
        <f>IF(Artikelstamm!$B165="","",Artikelstamm!$B165)</f>
        <v/>
      </c>
      <c r="C165" s="14">
        <f>IF(Artikelstamm!$C165="","",Artikelstamm!$C165)</f>
        <v/>
      </c>
      <c r="D165" s="12">
        <f>IF(Artikelstamm!$E165="","",Artikelstamm!$E165)</f>
        <v/>
      </c>
      <c r="E165" s="27">
        <f>SUMIF('Hauptmagazin'!$A:$A,$B165,'Hauptmagazin'!$F:$F)</f>
        <v/>
      </c>
      <c r="F165" s="27">
        <f>SUMIF('Panorama'!$A:$A,$B165,'Panorama'!$F:$F)</f>
        <v/>
      </c>
      <c r="G165" s="27">
        <f>SUMIF('Kachelofen'!$A:$A,$B165,'Kachelofen'!$F:$F)</f>
        <v/>
      </c>
      <c r="H165" s="27">
        <f>SUMIF('Gugelhupf'!$A:$A,$B165,'Gugelhupf'!$F:$F)</f>
        <v/>
      </c>
      <c r="I165" s="27">
        <f>SUMIF('Lucia'!$A:$A,$B165,'Lucia'!$F:$F)</f>
        <v/>
      </c>
      <c r="J165" s="27">
        <f>SUMIF('Bar'!$A:$A,$B165,'Bar'!$F:$F)</f>
        <v/>
      </c>
      <c r="K165" s="28">
        <f>SUM(E165:J165)</f>
        <v/>
      </c>
    </row>
    <row r="166">
      <c r="A166" s="15">
        <f>IF(Artikelstamm!$A166="","",Artikelstamm!$A166)</f>
        <v/>
      </c>
      <c r="B166" s="17">
        <f>IF(Artikelstamm!$B166="","",Artikelstamm!$B166)</f>
        <v/>
      </c>
      <c r="C166" s="17">
        <f>IF(Artikelstamm!$C166="","",Artikelstamm!$C166)</f>
        <v/>
      </c>
      <c r="D166" s="15">
        <f>IF(Artikelstamm!$E166="","",Artikelstamm!$E166)</f>
        <v/>
      </c>
      <c r="E166" s="29">
        <f>SUMIF('Hauptmagazin'!$A:$A,$B166,'Hauptmagazin'!$F:$F)</f>
        <v/>
      </c>
      <c r="F166" s="29">
        <f>SUMIF('Panorama'!$A:$A,$B166,'Panorama'!$F:$F)</f>
        <v/>
      </c>
      <c r="G166" s="29">
        <f>SUMIF('Kachelofen'!$A:$A,$B166,'Kachelofen'!$F:$F)</f>
        <v/>
      </c>
      <c r="H166" s="29">
        <f>SUMIF('Gugelhupf'!$A:$A,$B166,'Gugelhupf'!$F:$F)</f>
        <v/>
      </c>
      <c r="I166" s="29">
        <f>SUMIF('Lucia'!$A:$A,$B166,'Lucia'!$F:$F)</f>
        <v/>
      </c>
      <c r="J166" s="29">
        <f>SUMIF('Bar'!$A:$A,$B166,'Bar'!$F:$F)</f>
        <v/>
      </c>
      <c r="K166" s="30">
        <f>SUM(E166:J166)</f>
        <v/>
      </c>
    </row>
    <row r="167">
      <c r="A167" s="12">
        <f>IF(Artikelstamm!$A167="","",Artikelstamm!$A167)</f>
        <v/>
      </c>
      <c r="B167" s="14">
        <f>IF(Artikelstamm!$B167="","",Artikelstamm!$B167)</f>
        <v/>
      </c>
      <c r="C167" s="14">
        <f>IF(Artikelstamm!$C167="","",Artikelstamm!$C167)</f>
        <v/>
      </c>
      <c r="D167" s="12">
        <f>IF(Artikelstamm!$E167="","",Artikelstamm!$E167)</f>
        <v/>
      </c>
      <c r="E167" s="27">
        <f>SUMIF('Hauptmagazin'!$A:$A,$B167,'Hauptmagazin'!$F:$F)</f>
        <v/>
      </c>
      <c r="F167" s="27">
        <f>SUMIF('Panorama'!$A:$A,$B167,'Panorama'!$F:$F)</f>
        <v/>
      </c>
      <c r="G167" s="27">
        <f>SUMIF('Kachelofen'!$A:$A,$B167,'Kachelofen'!$F:$F)</f>
        <v/>
      </c>
      <c r="H167" s="27">
        <f>SUMIF('Gugelhupf'!$A:$A,$B167,'Gugelhupf'!$F:$F)</f>
        <v/>
      </c>
      <c r="I167" s="27">
        <f>SUMIF('Lucia'!$A:$A,$B167,'Lucia'!$F:$F)</f>
        <v/>
      </c>
      <c r="J167" s="27">
        <f>SUMIF('Bar'!$A:$A,$B167,'Bar'!$F:$F)</f>
        <v/>
      </c>
      <c r="K167" s="28">
        <f>SUM(E167:J167)</f>
        <v/>
      </c>
    </row>
    <row r="168">
      <c r="A168" s="15">
        <f>IF(Artikelstamm!$A168="","",Artikelstamm!$A168)</f>
        <v/>
      </c>
      <c r="B168" s="17">
        <f>IF(Artikelstamm!$B168="","",Artikelstamm!$B168)</f>
        <v/>
      </c>
      <c r="C168" s="17">
        <f>IF(Artikelstamm!$C168="","",Artikelstamm!$C168)</f>
        <v/>
      </c>
      <c r="D168" s="15">
        <f>IF(Artikelstamm!$E168="","",Artikelstamm!$E168)</f>
        <v/>
      </c>
      <c r="E168" s="29">
        <f>SUMIF('Hauptmagazin'!$A:$A,$B168,'Hauptmagazin'!$F:$F)</f>
        <v/>
      </c>
      <c r="F168" s="29">
        <f>SUMIF('Panorama'!$A:$A,$B168,'Panorama'!$F:$F)</f>
        <v/>
      </c>
      <c r="G168" s="29">
        <f>SUMIF('Kachelofen'!$A:$A,$B168,'Kachelofen'!$F:$F)</f>
        <v/>
      </c>
      <c r="H168" s="29">
        <f>SUMIF('Gugelhupf'!$A:$A,$B168,'Gugelhupf'!$F:$F)</f>
        <v/>
      </c>
      <c r="I168" s="29">
        <f>SUMIF('Lucia'!$A:$A,$B168,'Lucia'!$F:$F)</f>
        <v/>
      </c>
      <c r="J168" s="29">
        <f>SUMIF('Bar'!$A:$A,$B168,'Bar'!$F:$F)</f>
        <v/>
      </c>
      <c r="K168" s="30">
        <f>SUM(E168:J168)</f>
        <v/>
      </c>
    </row>
    <row r="169">
      <c r="A169" s="12">
        <f>IF(Artikelstamm!$A169="","",Artikelstamm!$A169)</f>
        <v/>
      </c>
      <c r="B169" s="14">
        <f>IF(Artikelstamm!$B169="","",Artikelstamm!$B169)</f>
        <v/>
      </c>
      <c r="C169" s="14">
        <f>IF(Artikelstamm!$C169="","",Artikelstamm!$C169)</f>
        <v/>
      </c>
      <c r="D169" s="12">
        <f>IF(Artikelstamm!$E169="","",Artikelstamm!$E169)</f>
        <v/>
      </c>
      <c r="E169" s="27">
        <f>SUMIF('Hauptmagazin'!$A:$A,$B169,'Hauptmagazin'!$F:$F)</f>
        <v/>
      </c>
      <c r="F169" s="27">
        <f>SUMIF('Panorama'!$A:$A,$B169,'Panorama'!$F:$F)</f>
        <v/>
      </c>
      <c r="G169" s="27">
        <f>SUMIF('Kachelofen'!$A:$A,$B169,'Kachelofen'!$F:$F)</f>
        <v/>
      </c>
      <c r="H169" s="27">
        <f>SUMIF('Gugelhupf'!$A:$A,$B169,'Gugelhupf'!$F:$F)</f>
        <v/>
      </c>
      <c r="I169" s="27">
        <f>SUMIF('Lucia'!$A:$A,$B169,'Lucia'!$F:$F)</f>
        <v/>
      </c>
      <c r="J169" s="27">
        <f>SUMIF('Bar'!$A:$A,$B169,'Bar'!$F:$F)</f>
        <v/>
      </c>
      <c r="K169" s="28">
        <f>SUM(E169:J169)</f>
        <v/>
      </c>
    </row>
    <row r="170">
      <c r="A170" s="15">
        <f>IF(Artikelstamm!$A170="","",Artikelstamm!$A170)</f>
        <v/>
      </c>
      <c r="B170" s="17">
        <f>IF(Artikelstamm!$B170="","",Artikelstamm!$B170)</f>
        <v/>
      </c>
      <c r="C170" s="17">
        <f>IF(Artikelstamm!$C170="","",Artikelstamm!$C170)</f>
        <v/>
      </c>
      <c r="D170" s="15">
        <f>IF(Artikelstamm!$E170="","",Artikelstamm!$E170)</f>
        <v/>
      </c>
      <c r="E170" s="29">
        <f>SUMIF('Hauptmagazin'!$A:$A,$B170,'Hauptmagazin'!$F:$F)</f>
        <v/>
      </c>
      <c r="F170" s="29">
        <f>SUMIF('Panorama'!$A:$A,$B170,'Panorama'!$F:$F)</f>
        <v/>
      </c>
      <c r="G170" s="29">
        <f>SUMIF('Kachelofen'!$A:$A,$B170,'Kachelofen'!$F:$F)</f>
        <v/>
      </c>
      <c r="H170" s="29">
        <f>SUMIF('Gugelhupf'!$A:$A,$B170,'Gugelhupf'!$F:$F)</f>
        <v/>
      </c>
      <c r="I170" s="29">
        <f>SUMIF('Lucia'!$A:$A,$B170,'Lucia'!$F:$F)</f>
        <v/>
      </c>
      <c r="J170" s="29">
        <f>SUMIF('Bar'!$A:$A,$B170,'Bar'!$F:$F)</f>
        <v/>
      </c>
      <c r="K170" s="30">
        <f>SUM(E170:J170)</f>
        <v/>
      </c>
    </row>
    <row r="171">
      <c r="A171" s="12">
        <f>IF(Artikelstamm!$A171="","",Artikelstamm!$A171)</f>
        <v/>
      </c>
      <c r="B171" s="14">
        <f>IF(Artikelstamm!$B171="","",Artikelstamm!$B171)</f>
        <v/>
      </c>
      <c r="C171" s="14">
        <f>IF(Artikelstamm!$C171="","",Artikelstamm!$C171)</f>
        <v/>
      </c>
      <c r="D171" s="12">
        <f>IF(Artikelstamm!$E171="","",Artikelstamm!$E171)</f>
        <v/>
      </c>
      <c r="E171" s="27">
        <f>SUMIF('Hauptmagazin'!$A:$A,$B171,'Hauptmagazin'!$F:$F)</f>
        <v/>
      </c>
      <c r="F171" s="27">
        <f>SUMIF('Panorama'!$A:$A,$B171,'Panorama'!$F:$F)</f>
        <v/>
      </c>
      <c r="G171" s="27">
        <f>SUMIF('Kachelofen'!$A:$A,$B171,'Kachelofen'!$F:$F)</f>
        <v/>
      </c>
      <c r="H171" s="27">
        <f>SUMIF('Gugelhupf'!$A:$A,$B171,'Gugelhupf'!$F:$F)</f>
        <v/>
      </c>
      <c r="I171" s="27">
        <f>SUMIF('Lucia'!$A:$A,$B171,'Lucia'!$F:$F)</f>
        <v/>
      </c>
      <c r="J171" s="27">
        <f>SUMIF('Bar'!$A:$A,$B171,'Bar'!$F:$F)</f>
        <v/>
      </c>
      <c r="K171" s="28">
        <f>SUM(E171:J171)</f>
        <v/>
      </c>
    </row>
    <row r="172">
      <c r="A172" s="15">
        <f>IF(Artikelstamm!$A172="","",Artikelstamm!$A172)</f>
        <v/>
      </c>
      <c r="B172" s="17">
        <f>IF(Artikelstamm!$B172="","",Artikelstamm!$B172)</f>
        <v/>
      </c>
      <c r="C172" s="17">
        <f>IF(Artikelstamm!$C172="","",Artikelstamm!$C172)</f>
        <v/>
      </c>
      <c r="D172" s="15">
        <f>IF(Artikelstamm!$E172="","",Artikelstamm!$E172)</f>
        <v/>
      </c>
      <c r="E172" s="29">
        <f>SUMIF('Hauptmagazin'!$A:$A,$B172,'Hauptmagazin'!$F:$F)</f>
        <v/>
      </c>
      <c r="F172" s="29">
        <f>SUMIF('Panorama'!$A:$A,$B172,'Panorama'!$F:$F)</f>
        <v/>
      </c>
      <c r="G172" s="29">
        <f>SUMIF('Kachelofen'!$A:$A,$B172,'Kachelofen'!$F:$F)</f>
        <v/>
      </c>
      <c r="H172" s="29">
        <f>SUMIF('Gugelhupf'!$A:$A,$B172,'Gugelhupf'!$F:$F)</f>
        <v/>
      </c>
      <c r="I172" s="29">
        <f>SUMIF('Lucia'!$A:$A,$B172,'Lucia'!$F:$F)</f>
        <v/>
      </c>
      <c r="J172" s="29">
        <f>SUMIF('Bar'!$A:$A,$B172,'Bar'!$F:$F)</f>
        <v/>
      </c>
      <c r="K172" s="30">
        <f>SUM(E172:J172)</f>
        <v/>
      </c>
    </row>
    <row r="173">
      <c r="A173" s="12">
        <f>IF(Artikelstamm!$A173="","",Artikelstamm!$A173)</f>
        <v/>
      </c>
      <c r="B173" s="14">
        <f>IF(Artikelstamm!$B173="","",Artikelstamm!$B173)</f>
        <v/>
      </c>
      <c r="C173" s="14">
        <f>IF(Artikelstamm!$C173="","",Artikelstamm!$C173)</f>
        <v/>
      </c>
      <c r="D173" s="12">
        <f>IF(Artikelstamm!$E173="","",Artikelstamm!$E173)</f>
        <v/>
      </c>
      <c r="E173" s="27">
        <f>SUMIF('Hauptmagazin'!$A:$A,$B173,'Hauptmagazin'!$F:$F)</f>
        <v/>
      </c>
      <c r="F173" s="27">
        <f>SUMIF('Panorama'!$A:$A,$B173,'Panorama'!$F:$F)</f>
        <v/>
      </c>
      <c r="G173" s="27">
        <f>SUMIF('Kachelofen'!$A:$A,$B173,'Kachelofen'!$F:$F)</f>
        <v/>
      </c>
      <c r="H173" s="27">
        <f>SUMIF('Gugelhupf'!$A:$A,$B173,'Gugelhupf'!$F:$F)</f>
        <v/>
      </c>
      <c r="I173" s="27">
        <f>SUMIF('Lucia'!$A:$A,$B173,'Lucia'!$F:$F)</f>
        <v/>
      </c>
      <c r="J173" s="27">
        <f>SUMIF('Bar'!$A:$A,$B173,'Bar'!$F:$F)</f>
        <v/>
      </c>
      <c r="K173" s="28">
        <f>SUM(E173:J173)</f>
        <v/>
      </c>
    </row>
    <row r="174">
      <c r="A174" s="15">
        <f>IF(Artikelstamm!$A174="","",Artikelstamm!$A174)</f>
        <v/>
      </c>
      <c r="B174" s="17">
        <f>IF(Artikelstamm!$B174="","",Artikelstamm!$B174)</f>
        <v/>
      </c>
      <c r="C174" s="17">
        <f>IF(Artikelstamm!$C174="","",Artikelstamm!$C174)</f>
        <v/>
      </c>
      <c r="D174" s="15">
        <f>IF(Artikelstamm!$E174="","",Artikelstamm!$E174)</f>
        <v/>
      </c>
      <c r="E174" s="29">
        <f>SUMIF('Hauptmagazin'!$A:$A,$B174,'Hauptmagazin'!$F:$F)</f>
        <v/>
      </c>
      <c r="F174" s="29">
        <f>SUMIF('Panorama'!$A:$A,$B174,'Panorama'!$F:$F)</f>
        <v/>
      </c>
      <c r="G174" s="29">
        <f>SUMIF('Kachelofen'!$A:$A,$B174,'Kachelofen'!$F:$F)</f>
        <v/>
      </c>
      <c r="H174" s="29">
        <f>SUMIF('Gugelhupf'!$A:$A,$B174,'Gugelhupf'!$F:$F)</f>
        <v/>
      </c>
      <c r="I174" s="29">
        <f>SUMIF('Lucia'!$A:$A,$B174,'Lucia'!$F:$F)</f>
        <v/>
      </c>
      <c r="J174" s="29">
        <f>SUMIF('Bar'!$A:$A,$B174,'Bar'!$F:$F)</f>
        <v/>
      </c>
      <c r="K174" s="30">
        <f>SUM(E174:J174)</f>
        <v/>
      </c>
    </row>
    <row r="175">
      <c r="A175" s="12">
        <f>IF(Artikelstamm!$A175="","",Artikelstamm!$A175)</f>
        <v/>
      </c>
      <c r="B175" s="14">
        <f>IF(Artikelstamm!$B175="","",Artikelstamm!$B175)</f>
        <v/>
      </c>
      <c r="C175" s="14">
        <f>IF(Artikelstamm!$C175="","",Artikelstamm!$C175)</f>
        <v/>
      </c>
      <c r="D175" s="12">
        <f>IF(Artikelstamm!$E175="","",Artikelstamm!$E175)</f>
        <v/>
      </c>
      <c r="E175" s="27">
        <f>SUMIF('Hauptmagazin'!$A:$A,$B175,'Hauptmagazin'!$F:$F)</f>
        <v/>
      </c>
      <c r="F175" s="27">
        <f>SUMIF('Panorama'!$A:$A,$B175,'Panorama'!$F:$F)</f>
        <v/>
      </c>
      <c r="G175" s="27">
        <f>SUMIF('Kachelofen'!$A:$A,$B175,'Kachelofen'!$F:$F)</f>
        <v/>
      </c>
      <c r="H175" s="27">
        <f>SUMIF('Gugelhupf'!$A:$A,$B175,'Gugelhupf'!$F:$F)</f>
        <v/>
      </c>
      <c r="I175" s="27">
        <f>SUMIF('Lucia'!$A:$A,$B175,'Lucia'!$F:$F)</f>
        <v/>
      </c>
      <c r="J175" s="27">
        <f>SUMIF('Bar'!$A:$A,$B175,'Bar'!$F:$F)</f>
        <v/>
      </c>
      <c r="K175" s="28">
        <f>SUM(E175:J175)</f>
        <v/>
      </c>
    </row>
    <row r="176">
      <c r="A176" s="15">
        <f>IF(Artikelstamm!$A176="","",Artikelstamm!$A176)</f>
        <v/>
      </c>
      <c r="B176" s="17">
        <f>IF(Artikelstamm!$B176="","",Artikelstamm!$B176)</f>
        <v/>
      </c>
      <c r="C176" s="17">
        <f>IF(Artikelstamm!$C176="","",Artikelstamm!$C176)</f>
        <v/>
      </c>
      <c r="D176" s="15">
        <f>IF(Artikelstamm!$E176="","",Artikelstamm!$E176)</f>
        <v/>
      </c>
      <c r="E176" s="29">
        <f>SUMIF('Hauptmagazin'!$A:$A,$B176,'Hauptmagazin'!$F:$F)</f>
        <v/>
      </c>
      <c r="F176" s="29">
        <f>SUMIF('Panorama'!$A:$A,$B176,'Panorama'!$F:$F)</f>
        <v/>
      </c>
      <c r="G176" s="29">
        <f>SUMIF('Kachelofen'!$A:$A,$B176,'Kachelofen'!$F:$F)</f>
        <v/>
      </c>
      <c r="H176" s="29">
        <f>SUMIF('Gugelhupf'!$A:$A,$B176,'Gugelhupf'!$F:$F)</f>
        <v/>
      </c>
      <c r="I176" s="29">
        <f>SUMIF('Lucia'!$A:$A,$B176,'Lucia'!$F:$F)</f>
        <v/>
      </c>
      <c r="J176" s="29">
        <f>SUMIF('Bar'!$A:$A,$B176,'Bar'!$F:$F)</f>
        <v/>
      </c>
      <c r="K176" s="30">
        <f>SUM(E176:J176)</f>
        <v/>
      </c>
    </row>
    <row r="177">
      <c r="A177" s="12">
        <f>IF(Artikelstamm!$A177="","",Artikelstamm!$A177)</f>
        <v/>
      </c>
      <c r="B177" s="14">
        <f>IF(Artikelstamm!$B177="","",Artikelstamm!$B177)</f>
        <v/>
      </c>
      <c r="C177" s="14">
        <f>IF(Artikelstamm!$C177="","",Artikelstamm!$C177)</f>
        <v/>
      </c>
      <c r="D177" s="12">
        <f>IF(Artikelstamm!$E177="","",Artikelstamm!$E177)</f>
        <v/>
      </c>
      <c r="E177" s="27">
        <f>SUMIF('Hauptmagazin'!$A:$A,$B177,'Hauptmagazin'!$F:$F)</f>
        <v/>
      </c>
      <c r="F177" s="27">
        <f>SUMIF('Panorama'!$A:$A,$B177,'Panorama'!$F:$F)</f>
        <v/>
      </c>
      <c r="G177" s="27">
        <f>SUMIF('Kachelofen'!$A:$A,$B177,'Kachelofen'!$F:$F)</f>
        <v/>
      </c>
      <c r="H177" s="27">
        <f>SUMIF('Gugelhupf'!$A:$A,$B177,'Gugelhupf'!$F:$F)</f>
        <v/>
      </c>
      <c r="I177" s="27">
        <f>SUMIF('Lucia'!$A:$A,$B177,'Lucia'!$F:$F)</f>
        <v/>
      </c>
      <c r="J177" s="27">
        <f>SUMIF('Bar'!$A:$A,$B177,'Bar'!$F:$F)</f>
        <v/>
      </c>
      <c r="K177" s="28">
        <f>SUM(E177:J177)</f>
        <v/>
      </c>
    </row>
    <row r="178">
      <c r="A178" s="15">
        <f>IF(Artikelstamm!$A178="","",Artikelstamm!$A178)</f>
        <v/>
      </c>
      <c r="B178" s="17">
        <f>IF(Artikelstamm!$B178="","",Artikelstamm!$B178)</f>
        <v/>
      </c>
      <c r="C178" s="17">
        <f>IF(Artikelstamm!$C178="","",Artikelstamm!$C178)</f>
        <v/>
      </c>
      <c r="D178" s="15">
        <f>IF(Artikelstamm!$E178="","",Artikelstamm!$E178)</f>
        <v/>
      </c>
      <c r="E178" s="29">
        <f>SUMIF('Hauptmagazin'!$A:$A,$B178,'Hauptmagazin'!$F:$F)</f>
        <v/>
      </c>
      <c r="F178" s="29">
        <f>SUMIF('Panorama'!$A:$A,$B178,'Panorama'!$F:$F)</f>
        <v/>
      </c>
      <c r="G178" s="29">
        <f>SUMIF('Kachelofen'!$A:$A,$B178,'Kachelofen'!$F:$F)</f>
        <v/>
      </c>
      <c r="H178" s="29">
        <f>SUMIF('Gugelhupf'!$A:$A,$B178,'Gugelhupf'!$F:$F)</f>
        <v/>
      </c>
      <c r="I178" s="29">
        <f>SUMIF('Lucia'!$A:$A,$B178,'Lucia'!$F:$F)</f>
        <v/>
      </c>
      <c r="J178" s="29">
        <f>SUMIF('Bar'!$A:$A,$B178,'Bar'!$F:$F)</f>
        <v/>
      </c>
      <c r="K178" s="30">
        <f>SUM(E178:J178)</f>
        <v/>
      </c>
    </row>
    <row r="179">
      <c r="A179" s="12">
        <f>IF(Artikelstamm!$A179="","",Artikelstamm!$A179)</f>
        <v/>
      </c>
      <c r="B179" s="14">
        <f>IF(Artikelstamm!$B179="","",Artikelstamm!$B179)</f>
        <v/>
      </c>
      <c r="C179" s="14">
        <f>IF(Artikelstamm!$C179="","",Artikelstamm!$C179)</f>
        <v/>
      </c>
      <c r="D179" s="12">
        <f>IF(Artikelstamm!$E179="","",Artikelstamm!$E179)</f>
        <v/>
      </c>
      <c r="E179" s="27">
        <f>SUMIF('Hauptmagazin'!$A:$A,$B179,'Hauptmagazin'!$F:$F)</f>
        <v/>
      </c>
      <c r="F179" s="27">
        <f>SUMIF('Panorama'!$A:$A,$B179,'Panorama'!$F:$F)</f>
        <v/>
      </c>
      <c r="G179" s="27">
        <f>SUMIF('Kachelofen'!$A:$A,$B179,'Kachelofen'!$F:$F)</f>
        <v/>
      </c>
      <c r="H179" s="27">
        <f>SUMIF('Gugelhupf'!$A:$A,$B179,'Gugelhupf'!$F:$F)</f>
        <v/>
      </c>
      <c r="I179" s="27">
        <f>SUMIF('Lucia'!$A:$A,$B179,'Lucia'!$F:$F)</f>
        <v/>
      </c>
      <c r="J179" s="27">
        <f>SUMIF('Bar'!$A:$A,$B179,'Bar'!$F:$F)</f>
        <v/>
      </c>
      <c r="K179" s="28">
        <f>SUM(E179:J179)</f>
        <v/>
      </c>
    </row>
    <row r="180">
      <c r="A180" s="15">
        <f>IF(Artikelstamm!$A180="","",Artikelstamm!$A180)</f>
        <v/>
      </c>
      <c r="B180" s="17">
        <f>IF(Artikelstamm!$B180="","",Artikelstamm!$B180)</f>
        <v/>
      </c>
      <c r="C180" s="17">
        <f>IF(Artikelstamm!$C180="","",Artikelstamm!$C180)</f>
        <v/>
      </c>
      <c r="D180" s="15">
        <f>IF(Artikelstamm!$E180="","",Artikelstamm!$E180)</f>
        <v/>
      </c>
      <c r="E180" s="29">
        <f>SUMIF('Hauptmagazin'!$A:$A,$B180,'Hauptmagazin'!$F:$F)</f>
        <v/>
      </c>
      <c r="F180" s="29">
        <f>SUMIF('Panorama'!$A:$A,$B180,'Panorama'!$F:$F)</f>
        <v/>
      </c>
      <c r="G180" s="29">
        <f>SUMIF('Kachelofen'!$A:$A,$B180,'Kachelofen'!$F:$F)</f>
        <v/>
      </c>
      <c r="H180" s="29">
        <f>SUMIF('Gugelhupf'!$A:$A,$B180,'Gugelhupf'!$F:$F)</f>
        <v/>
      </c>
      <c r="I180" s="29">
        <f>SUMIF('Lucia'!$A:$A,$B180,'Lucia'!$F:$F)</f>
        <v/>
      </c>
      <c r="J180" s="29">
        <f>SUMIF('Bar'!$A:$A,$B180,'Bar'!$F:$F)</f>
        <v/>
      </c>
      <c r="K180" s="30">
        <f>SUM(E180:J180)</f>
        <v/>
      </c>
    </row>
    <row r="181">
      <c r="A181" s="12">
        <f>IF(Artikelstamm!$A181="","",Artikelstamm!$A181)</f>
        <v/>
      </c>
      <c r="B181" s="14">
        <f>IF(Artikelstamm!$B181="","",Artikelstamm!$B181)</f>
        <v/>
      </c>
      <c r="C181" s="14">
        <f>IF(Artikelstamm!$C181="","",Artikelstamm!$C181)</f>
        <v/>
      </c>
      <c r="D181" s="12">
        <f>IF(Artikelstamm!$E181="","",Artikelstamm!$E181)</f>
        <v/>
      </c>
      <c r="E181" s="27">
        <f>SUMIF('Hauptmagazin'!$A:$A,$B181,'Hauptmagazin'!$F:$F)</f>
        <v/>
      </c>
      <c r="F181" s="27">
        <f>SUMIF('Panorama'!$A:$A,$B181,'Panorama'!$F:$F)</f>
        <v/>
      </c>
      <c r="G181" s="27">
        <f>SUMIF('Kachelofen'!$A:$A,$B181,'Kachelofen'!$F:$F)</f>
        <v/>
      </c>
      <c r="H181" s="27">
        <f>SUMIF('Gugelhupf'!$A:$A,$B181,'Gugelhupf'!$F:$F)</f>
        <v/>
      </c>
      <c r="I181" s="27">
        <f>SUMIF('Lucia'!$A:$A,$B181,'Lucia'!$F:$F)</f>
        <v/>
      </c>
      <c r="J181" s="27">
        <f>SUMIF('Bar'!$A:$A,$B181,'Bar'!$F:$F)</f>
        <v/>
      </c>
      <c r="K181" s="28">
        <f>SUM(E181:J181)</f>
        <v/>
      </c>
    </row>
    <row r="182">
      <c r="A182" s="15">
        <f>IF(Artikelstamm!$A182="","",Artikelstamm!$A182)</f>
        <v/>
      </c>
      <c r="B182" s="17">
        <f>IF(Artikelstamm!$B182="","",Artikelstamm!$B182)</f>
        <v/>
      </c>
      <c r="C182" s="17">
        <f>IF(Artikelstamm!$C182="","",Artikelstamm!$C182)</f>
        <v/>
      </c>
      <c r="D182" s="15">
        <f>IF(Artikelstamm!$E182="","",Artikelstamm!$E182)</f>
        <v/>
      </c>
      <c r="E182" s="29">
        <f>SUMIF('Hauptmagazin'!$A:$A,$B182,'Hauptmagazin'!$F:$F)</f>
        <v/>
      </c>
      <c r="F182" s="29">
        <f>SUMIF('Panorama'!$A:$A,$B182,'Panorama'!$F:$F)</f>
        <v/>
      </c>
      <c r="G182" s="29">
        <f>SUMIF('Kachelofen'!$A:$A,$B182,'Kachelofen'!$F:$F)</f>
        <v/>
      </c>
      <c r="H182" s="29">
        <f>SUMIF('Gugelhupf'!$A:$A,$B182,'Gugelhupf'!$F:$F)</f>
        <v/>
      </c>
      <c r="I182" s="29">
        <f>SUMIF('Lucia'!$A:$A,$B182,'Lucia'!$F:$F)</f>
        <v/>
      </c>
      <c r="J182" s="29">
        <f>SUMIF('Bar'!$A:$A,$B182,'Bar'!$F:$F)</f>
        <v/>
      </c>
      <c r="K182" s="30">
        <f>SUM(E182:J182)</f>
        <v/>
      </c>
    </row>
    <row r="183">
      <c r="A183" s="12">
        <f>IF(Artikelstamm!$A183="","",Artikelstamm!$A183)</f>
        <v/>
      </c>
      <c r="B183" s="14">
        <f>IF(Artikelstamm!$B183="","",Artikelstamm!$B183)</f>
        <v/>
      </c>
      <c r="C183" s="14">
        <f>IF(Artikelstamm!$C183="","",Artikelstamm!$C183)</f>
        <v/>
      </c>
      <c r="D183" s="12">
        <f>IF(Artikelstamm!$E183="","",Artikelstamm!$E183)</f>
        <v/>
      </c>
      <c r="E183" s="27">
        <f>SUMIF('Hauptmagazin'!$A:$A,$B183,'Hauptmagazin'!$F:$F)</f>
        <v/>
      </c>
      <c r="F183" s="27">
        <f>SUMIF('Panorama'!$A:$A,$B183,'Panorama'!$F:$F)</f>
        <v/>
      </c>
      <c r="G183" s="27">
        <f>SUMIF('Kachelofen'!$A:$A,$B183,'Kachelofen'!$F:$F)</f>
        <v/>
      </c>
      <c r="H183" s="27">
        <f>SUMIF('Gugelhupf'!$A:$A,$B183,'Gugelhupf'!$F:$F)</f>
        <v/>
      </c>
      <c r="I183" s="27">
        <f>SUMIF('Lucia'!$A:$A,$B183,'Lucia'!$F:$F)</f>
        <v/>
      </c>
      <c r="J183" s="27">
        <f>SUMIF('Bar'!$A:$A,$B183,'Bar'!$F:$F)</f>
        <v/>
      </c>
      <c r="K183" s="28">
        <f>SUM(E183:J183)</f>
        <v/>
      </c>
    </row>
    <row r="184">
      <c r="A184" s="15">
        <f>IF(Artikelstamm!$A184="","",Artikelstamm!$A184)</f>
        <v/>
      </c>
      <c r="B184" s="17">
        <f>IF(Artikelstamm!$B184="","",Artikelstamm!$B184)</f>
        <v/>
      </c>
      <c r="C184" s="17">
        <f>IF(Artikelstamm!$C184="","",Artikelstamm!$C184)</f>
        <v/>
      </c>
      <c r="D184" s="15">
        <f>IF(Artikelstamm!$E184="","",Artikelstamm!$E184)</f>
        <v/>
      </c>
      <c r="E184" s="29">
        <f>SUMIF('Hauptmagazin'!$A:$A,$B184,'Hauptmagazin'!$F:$F)</f>
        <v/>
      </c>
      <c r="F184" s="29">
        <f>SUMIF('Panorama'!$A:$A,$B184,'Panorama'!$F:$F)</f>
        <v/>
      </c>
      <c r="G184" s="29">
        <f>SUMIF('Kachelofen'!$A:$A,$B184,'Kachelofen'!$F:$F)</f>
        <v/>
      </c>
      <c r="H184" s="29">
        <f>SUMIF('Gugelhupf'!$A:$A,$B184,'Gugelhupf'!$F:$F)</f>
        <v/>
      </c>
      <c r="I184" s="29">
        <f>SUMIF('Lucia'!$A:$A,$B184,'Lucia'!$F:$F)</f>
        <v/>
      </c>
      <c r="J184" s="29">
        <f>SUMIF('Bar'!$A:$A,$B184,'Bar'!$F:$F)</f>
        <v/>
      </c>
      <c r="K184" s="30">
        <f>SUM(E184:J184)</f>
        <v/>
      </c>
    </row>
    <row r="185">
      <c r="A185" s="12">
        <f>IF(Artikelstamm!$A185="","",Artikelstamm!$A185)</f>
        <v/>
      </c>
      <c r="B185" s="14">
        <f>IF(Artikelstamm!$B185="","",Artikelstamm!$B185)</f>
        <v/>
      </c>
      <c r="C185" s="14">
        <f>IF(Artikelstamm!$C185="","",Artikelstamm!$C185)</f>
        <v/>
      </c>
      <c r="D185" s="12">
        <f>IF(Artikelstamm!$E185="","",Artikelstamm!$E185)</f>
        <v/>
      </c>
      <c r="E185" s="27">
        <f>SUMIF('Hauptmagazin'!$A:$A,$B185,'Hauptmagazin'!$F:$F)</f>
        <v/>
      </c>
      <c r="F185" s="27">
        <f>SUMIF('Panorama'!$A:$A,$B185,'Panorama'!$F:$F)</f>
        <v/>
      </c>
      <c r="G185" s="27">
        <f>SUMIF('Kachelofen'!$A:$A,$B185,'Kachelofen'!$F:$F)</f>
        <v/>
      </c>
      <c r="H185" s="27">
        <f>SUMIF('Gugelhupf'!$A:$A,$B185,'Gugelhupf'!$F:$F)</f>
        <v/>
      </c>
      <c r="I185" s="27">
        <f>SUMIF('Lucia'!$A:$A,$B185,'Lucia'!$F:$F)</f>
        <v/>
      </c>
      <c r="J185" s="27">
        <f>SUMIF('Bar'!$A:$A,$B185,'Bar'!$F:$F)</f>
        <v/>
      </c>
      <c r="K185" s="28">
        <f>SUM(E185:J185)</f>
        <v/>
      </c>
    </row>
    <row r="186">
      <c r="A186" s="15">
        <f>IF(Artikelstamm!$A186="","",Artikelstamm!$A186)</f>
        <v/>
      </c>
      <c r="B186" s="17">
        <f>IF(Artikelstamm!$B186="","",Artikelstamm!$B186)</f>
        <v/>
      </c>
      <c r="C186" s="17">
        <f>IF(Artikelstamm!$C186="","",Artikelstamm!$C186)</f>
        <v/>
      </c>
      <c r="D186" s="15">
        <f>IF(Artikelstamm!$E186="","",Artikelstamm!$E186)</f>
        <v/>
      </c>
      <c r="E186" s="29">
        <f>SUMIF('Hauptmagazin'!$A:$A,$B186,'Hauptmagazin'!$F:$F)</f>
        <v/>
      </c>
      <c r="F186" s="29">
        <f>SUMIF('Panorama'!$A:$A,$B186,'Panorama'!$F:$F)</f>
        <v/>
      </c>
      <c r="G186" s="29">
        <f>SUMIF('Kachelofen'!$A:$A,$B186,'Kachelofen'!$F:$F)</f>
        <v/>
      </c>
      <c r="H186" s="29">
        <f>SUMIF('Gugelhupf'!$A:$A,$B186,'Gugelhupf'!$F:$F)</f>
        <v/>
      </c>
      <c r="I186" s="29">
        <f>SUMIF('Lucia'!$A:$A,$B186,'Lucia'!$F:$F)</f>
        <v/>
      </c>
      <c r="J186" s="29">
        <f>SUMIF('Bar'!$A:$A,$B186,'Bar'!$F:$F)</f>
        <v/>
      </c>
      <c r="K186" s="30">
        <f>SUM(E186:J186)</f>
        <v/>
      </c>
    </row>
    <row r="187">
      <c r="A187" s="12">
        <f>IF(Artikelstamm!$A187="","",Artikelstamm!$A187)</f>
        <v/>
      </c>
      <c r="B187" s="14">
        <f>IF(Artikelstamm!$B187="","",Artikelstamm!$B187)</f>
        <v/>
      </c>
      <c r="C187" s="14">
        <f>IF(Artikelstamm!$C187="","",Artikelstamm!$C187)</f>
        <v/>
      </c>
      <c r="D187" s="12">
        <f>IF(Artikelstamm!$E187="","",Artikelstamm!$E187)</f>
        <v/>
      </c>
      <c r="E187" s="27">
        <f>SUMIF('Hauptmagazin'!$A:$A,$B187,'Hauptmagazin'!$F:$F)</f>
        <v/>
      </c>
      <c r="F187" s="27">
        <f>SUMIF('Panorama'!$A:$A,$B187,'Panorama'!$F:$F)</f>
        <v/>
      </c>
      <c r="G187" s="27">
        <f>SUMIF('Kachelofen'!$A:$A,$B187,'Kachelofen'!$F:$F)</f>
        <v/>
      </c>
      <c r="H187" s="27">
        <f>SUMIF('Gugelhupf'!$A:$A,$B187,'Gugelhupf'!$F:$F)</f>
        <v/>
      </c>
      <c r="I187" s="27">
        <f>SUMIF('Lucia'!$A:$A,$B187,'Lucia'!$F:$F)</f>
        <v/>
      </c>
      <c r="J187" s="27">
        <f>SUMIF('Bar'!$A:$A,$B187,'Bar'!$F:$F)</f>
        <v/>
      </c>
      <c r="K187" s="28">
        <f>SUM(E187:J187)</f>
        <v/>
      </c>
    </row>
    <row r="188">
      <c r="A188" s="15">
        <f>IF(Artikelstamm!$A188="","",Artikelstamm!$A188)</f>
        <v/>
      </c>
      <c r="B188" s="17">
        <f>IF(Artikelstamm!$B188="","",Artikelstamm!$B188)</f>
        <v/>
      </c>
      <c r="C188" s="17">
        <f>IF(Artikelstamm!$C188="","",Artikelstamm!$C188)</f>
        <v/>
      </c>
      <c r="D188" s="15">
        <f>IF(Artikelstamm!$E188="","",Artikelstamm!$E188)</f>
        <v/>
      </c>
      <c r="E188" s="29">
        <f>SUMIF('Hauptmagazin'!$A:$A,$B188,'Hauptmagazin'!$F:$F)</f>
        <v/>
      </c>
      <c r="F188" s="29">
        <f>SUMIF('Panorama'!$A:$A,$B188,'Panorama'!$F:$F)</f>
        <v/>
      </c>
      <c r="G188" s="29">
        <f>SUMIF('Kachelofen'!$A:$A,$B188,'Kachelofen'!$F:$F)</f>
        <v/>
      </c>
      <c r="H188" s="29">
        <f>SUMIF('Gugelhupf'!$A:$A,$B188,'Gugelhupf'!$F:$F)</f>
        <v/>
      </c>
      <c r="I188" s="29">
        <f>SUMIF('Lucia'!$A:$A,$B188,'Lucia'!$F:$F)</f>
        <v/>
      </c>
      <c r="J188" s="29">
        <f>SUMIF('Bar'!$A:$A,$B188,'Bar'!$F:$F)</f>
        <v/>
      </c>
      <c r="K188" s="30">
        <f>SUM(E188:J188)</f>
        <v/>
      </c>
    </row>
    <row r="189">
      <c r="A189" s="12">
        <f>IF(Artikelstamm!$A189="","",Artikelstamm!$A189)</f>
        <v/>
      </c>
      <c r="B189" s="14">
        <f>IF(Artikelstamm!$B189="","",Artikelstamm!$B189)</f>
        <v/>
      </c>
      <c r="C189" s="14">
        <f>IF(Artikelstamm!$C189="","",Artikelstamm!$C189)</f>
        <v/>
      </c>
      <c r="D189" s="12">
        <f>IF(Artikelstamm!$E189="","",Artikelstamm!$E189)</f>
        <v/>
      </c>
      <c r="E189" s="27">
        <f>SUMIF('Hauptmagazin'!$A:$A,$B189,'Hauptmagazin'!$F:$F)</f>
        <v/>
      </c>
      <c r="F189" s="27">
        <f>SUMIF('Panorama'!$A:$A,$B189,'Panorama'!$F:$F)</f>
        <v/>
      </c>
      <c r="G189" s="27">
        <f>SUMIF('Kachelofen'!$A:$A,$B189,'Kachelofen'!$F:$F)</f>
        <v/>
      </c>
      <c r="H189" s="27">
        <f>SUMIF('Gugelhupf'!$A:$A,$B189,'Gugelhupf'!$F:$F)</f>
        <v/>
      </c>
      <c r="I189" s="27">
        <f>SUMIF('Lucia'!$A:$A,$B189,'Lucia'!$F:$F)</f>
        <v/>
      </c>
      <c r="J189" s="27">
        <f>SUMIF('Bar'!$A:$A,$B189,'Bar'!$F:$F)</f>
        <v/>
      </c>
      <c r="K189" s="28">
        <f>SUM(E189:J189)</f>
        <v/>
      </c>
    </row>
    <row r="190">
      <c r="A190" s="15">
        <f>IF(Artikelstamm!$A190="","",Artikelstamm!$A190)</f>
        <v/>
      </c>
      <c r="B190" s="17">
        <f>IF(Artikelstamm!$B190="","",Artikelstamm!$B190)</f>
        <v/>
      </c>
      <c r="C190" s="17">
        <f>IF(Artikelstamm!$C190="","",Artikelstamm!$C190)</f>
        <v/>
      </c>
      <c r="D190" s="15">
        <f>IF(Artikelstamm!$E190="","",Artikelstamm!$E190)</f>
        <v/>
      </c>
      <c r="E190" s="29">
        <f>SUMIF('Hauptmagazin'!$A:$A,$B190,'Hauptmagazin'!$F:$F)</f>
        <v/>
      </c>
      <c r="F190" s="29">
        <f>SUMIF('Panorama'!$A:$A,$B190,'Panorama'!$F:$F)</f>
        <v/>
      </c>
      <c r="G190" s="29">
        <f>SUMIF('Kachelofen'!$A:$A,$B190,'Kachelofen'!$F:$F)</f>
        <v/>
      </c>
      <c r="H190" s="29">
        <f>SUMIF('Gugelhupf'!$A:$A,$B190,'Gugelhupf'!$F:$F)</f>
        <v/>
      </c>
      <c r="I190" s="29">
        <f>SUMIF('Lucia'!$A:$A,$B190,'Lucia'!$F:$F)</f>
        <v/>
      </c>
      <c r="J190" s="29">
        <f>SUMIF('Bar'!$A:$A,$B190,'Bar'!$F:$F)</f>
        <v/>
      </c>
      <c r="K190" s="30">
        <f>SUM(E190:J190)</f>
        <v/>
      </c>
    </row>
    <row r="191">
      <c r="A191" s="12">
        <f>IF(Artikelstamm!$A191="","",Artikelstamm!$A191)</f>
        <v/>
      </c>
      <c r="B191" s="14">
        <f>IF(Artikelstamm!$B191="","",Artikelstamm!$B191)</f>
        <v/>
      </c>
      <c r="C191" s="14">
        <f>IF(Artikelstamm!$C191="","",Artikelstamm!$C191)</f>
        <v/>
      </c>
      <c r="D191" s="12">
        <f>IF(Artikelstamm!$E191="","",Artikelstamm!$E191)</f>
        <v/>
      </c>
      <c r="E191" s="27">
        <f>SUMIF('Hauptmagazin'!$A:$A,$B191,'Hauptmagazin'!$F:$F)</f>
        <v/>
      </c>
      <c r="F191" s="27">
        <f>SUMIF('Panorama'!$A:$A,$B191,'Panorama'!$F:$F)</f>
        <v/>
      </c>
      <c r="G191" s="27">
        <f>SUMIF('Kachelofen'!$A:$A,$B191,'Kachelofen'!$F:$F)</f>
        <v/>
      </c>
      <c r="H191" s="27">
        <f>SUMIF('Gugelhupf'!$A:$A,$B191,'Gugelhupf'!$F:$F)</f>
        <v/>
      </c>
      <c r="I191" s="27">
        <f>SUMIF('Lucia'!$A:$A,$B191,'Lucia'!$F:$F)</f>
        <v/>
      </c>
      <c r="J191" s="27">
        <f>SUMIF('Bar'!$A:$A,$B191,'Bar'!$F:$F)</f>
        <v/>
      </c>
      <c r="K191" s="28">
        <f>SUM(E191:J191)</f>
        <v/>
      </c>
    </row>
    <row r="192">
      <c r="A192" s="15">
        <f>IF(Artikelstamm!$A192="","",Artikelstamm!$A192)</f>
        <v/>
      </c>
      <c r="B192" s="17">
        <f>IF(Artikelstamm!$B192="","",Artikelstamm!$B192)</f>
        <v/>
      </c>
      <c r="C192" s="17">
        <f>IF(Artikelstamm!$C192="","",Artikelstamm!$C192)</f>
        <v/>
      </c>
      <c r="D192" s="15">
        <f>IF(Artikelstamm!$E192="","",Artikelstamm!$E192)</f>
        <v/>
      </c>
      <c r="E192" s="29">
        <f>SUMIF('Hauptmagazin'!$A:$A,$B192,'Hauptmagazin'!$F:$F)</f>
        <v/>
      </c>
      <c r="F192" s="29">
        <f>SUMIF('Panorama'!$A:$A,$B192,'Panorama'!$F:$F)</f>
        <v/>
      </c>
      <c r="G192" s="29">
        <f>SUMIF('Kachelofen'!$A:$A,$B192,'Kachelofen'!$F:$F)</f>
        <v/>
      </c>
      <c r="H192" s="29">
        <f>SUMIF('Gugelhupf'!$A:$A,$B192,'Gugelhupf'!$F:$F)</f>
        <v/>
      </c>
      <c r="I192" s="29">
        <f>SUMIF('Lucia'!$A:$A,$B192,'Lucia'!$F:$F)</f>
        <v/>
      </c>
      <c r="J192" s="29">
        <f>SUMIF('Bar'!$A:$A,$B192,'Bar'!$F:$F)</f>
        <v/>
      </c>
      <c r="K192" s="30">
        <f>SUM(E192:J192)</f>
        <v/>
      </c>
    </row>
    <row r="193">
      <c r="A193" s="12">
        <f>IF(Artikelstamm!$A193="","",Artikelstamm!$A193)</f>
        <v/>
      </c>
      <c r="B193" s="14">
        <f>IF(Artikelstamm!$B193="","",Artikelstamm!$B193)</f>
        <v/>
      </c>
      <c r="C193" s="14">
        <f>IF(Artikelstamm!$C193="","",Artikelstamm!$C193)</f>
        <v/>
      </c>
      <c r="D193" s="12">
        <f>IF(Artikelstamm!$E193="","",Artikelstamm!$E193)</f>
        <v/>
      </c>
      <c r="E193" s="27">
        <f>SUMIF('Hauptmagazin'!$A:$A,$B193,'Hauptmagazin'!$F:$F)</f>
        <v/>
      </c>
      <c r="F193" s="27">
        <f>SUMIF('Panorama'!$A:$A,$B193,'Panorama'!$F:$F)</f>
        <v/>
      </c>
      <c r="G193" s="27">
        <f>SUMIF('Kachelofen'!$A:$A,$B193,'Kachelofen'!$F:$F)</f>
        <v/>
      </c>
      <c r="H193" s="27">
        <f>SUMIF('Gugelhupf'!$A:$A,$B193,'Gugelhupf'!$F:$F)</f>
        <v/>
      </c>
      <c r="I193" s="27">
        <f>SUMIF('Lucia'!$A:$A,$B193,'Lucia'!$F:$F)</f>
        <v/>
      </c>
      <c r="J193" s="27">
        <f>SUMIF('Bar'!$A:$A,$B193,'Bar'!$F:$F)</f>
        <v/>
      </c>
      <c r="K193" s="28">
        <f>SUM(E193:J193)</f>
        <v/>
      </c>
    </row>
    <row r="194">
      <c r="A194" s="15">
        <f>IF(Artikelstamm!$A194="","",Artikelstamm!$A194)</f>
        <v/>
      </c>
      <c r="B194" s="17">
        <f>IF(Artikelstamm!$B194="","",Artikelstamm!$B194)</f>
        <v/>
      </c>
      <c r="C194" s="17">
        <f>IF(Artikelstamm!$C194="","",Artikelstamm!$C194)</f>
        <v/>
      </c>
      <c r="D194" s="15">
        <f>IF(Artikelstamm!$E194="","",Artikelstamm!$E194)</f>
        <v/>
      </c>
      <c r="E194" s="29">
        <f>SUMIF('Hauptmagazin'!$A:$A,$B194,'Hauptmagazin'!$F:$F)</f>
        <v/>
      </c>
      <c r="F194" s="29">
        <f>SUMIF('Panorama'!$A:$A,$B194,'Panorama'!$F:$F)</f>
        <v/>
      </c>
      <c r="G194" s="29">
        <f>SUMIF('Kachelofen'!$A:$A,$B194,'Kachelofen'!$F:$F)</f>
        <v/>
      </c>
      <c r="H194" s="29">
        <f>SUMIF('Gugelhupf'!$A:$A,$B194,'Gugelhupf'!$F:$F)</f>
        <v/>
      </c>
      <c r="I194" s="29">
        <f>SUMIF('Lucia'!$A:$A,$B194,'Lucia'!$F:$F)</f>
        <v/>
      </c>
      <c r="J194" s="29">
        <f>SUMIF('Bar'!$A:$A,$B194,'Bar'!$F:$F)</f>
        <v/>
      </c>
      <c r="K194" s="30">
        <f>SUM(E194:J194)</f>
        <v/>
      </c>
    </row>
    <row r="195">
      <c r="A195" s="12">
        <f>IF(Artikelstamm!$A195="","",Artikelstamm!$A195)</f>
        <v/>
      </c>
      <c r="B195" s="14">
        <f>IF(Artikelstamm!$B195="","",Artikelstamm!$B195)</f>
        <v/>
      </c>
      <c r="C195" s="14">
        <f>IF(Artikelstamm!$C195="","",Artikelstamm!$C195)</f>
        <v/>
      </c>
      <c r="D195" s="12">
        <f>IF(Artikelstamm!$E195="","",Artikelstamm!$E195)</f>
        <v/>
      </c>
      <c r="E195" s="27">
        <f>SUMIF('Hauptmagazin'!$A:$A,$B195,'Hauptmagazin'!$F:$F)</f>
        <v/>
      </c>
      <c r="F195" s="27">
        <f>SUMIF('Panorama'!$A:$A,$B195,'Panorama'!$F:$F)</f>
        <v/>
      </c>
      <c r="G195" s="27">
        <f>SUMIF('Kachelofen'!$A:$A,$B195,'Kachelofen'!$F:$F)</f>
        <v/>
      </c>
      <c r="H195" s="27">
        <f>SUMIF('Gugelhupf'!$A:$A,$B195,'Gugelhupf'!$F:$F)</f>
        <v/>
      </c>
      <c r="I195" s="27">
        <f>SUMIF('Lucia'!$A:$A,$B195,'Lucia'!$F:$F)</f>
        <v/>
      </c>
      <c r="J195" s="27">
        <f>SUMIF('Bar'!$A:$A,$B195,'Bar'!$F:$F)</f>
        <v/>
      </c>
      <c r="K195" s="28">
        <f>SUM(E195:J195)</f>
        <v/>
      </c>
    </row>
    <row r="196">
      <c r="A196" s="15">
        <f>IF(Artikelstamm!$A196="","",Artikelstamm!$A196)</f>
        <v/>
      </c>
      <c r="B196" s="17">
        <f>IF(Artikelstamm!$B196="","",Artikelstamm!$B196)</f>
        <v/>
      </c>
      <c r="C196" s="17">
        <f>IF(Artikelstamm!$C196="","",Artikelstamm!$C196)</f>
        <v/>
      </c>
      <c r="D196" s="15">
        <f>IF(Artikelstamm!$E196="","",Artikelstamm!$E196)</f>
        <v/>
      </c>
      <c r="E196" s="29">
        <f>SUMIF('Hauptmagazin'!$A:$A,$B196,'Hauptmagazin'!$F:$F)</f>
        <v/>
      </c>
      <c r="F196" s="29">
        <f>SUMIF('Panorama'!$A:$A,$B196,'Panorama'!$F:$F)</f>
        <v/>
      </c>
      <c r="G196" s="29">
        <f>SUMIF('Kachelofen'!$A:$A,$B196,'Kachelofen'!$F:$F)</f>
        <v/>
      </c>
      <c r="H196" s="29">
        <f>SUMIF('Gugelhupf'!$A:$A,$B196,'Gugelhupf'!$F:$F)</f>
        <v/>
      </c>
      <c r="I196" s="29">
        <f>SUMIF('Lucia'!$A:$A,$B196,'Lucia'!$F:$F)</f>
        <v/>
      </c>
      <c r="J196" s="29">
        <f>SUMIF('Bar'!$A:$A,$B196,'Bar'!$F:$F)</f>
        <v/>
      </c>
      <c r="K196" s="30">
        <f>SUM(E196:J196)</f>
        <v/>
      </c>
    </row>
    <row r="197">
      <c r="A197" s="12">
        <f>IF(Artikelstamm!$A197="","",Artikelstamm!$A197)</f>
        <v/>
      </c>
      <c r="B197" s="14">
        <f>IF(Artikelstamm!$B197="","",Artikelstamm!$B197)</f>
        <v/>
      </c>
      <c r="C197" s="14">
        <f>IF(Artikelstamm!$C197="","",Artikelstamm!$C197)</f>
        <v/>
      </c>
      <c r="D197" s="12">
        <f>IF(Artikelstamm!$E197="","",Artikelstamm!$E197)</f>
        <v/>
      </c>
      <c r="E197" s="27">
        <f>SUMIF('Hauptmagazin'!$A:$A,$B197,'Hauptmagazin'!$F:$F)</f>
        <v/>
      </c>
      <c r="F197" s="27">
        <f>SUMIF('Panorama'!$A:$A,$B197,'Panorama'!$F:$F)</f>
        <v/>
      </c>
      <c r="G197" s="27">
        <f>SUMIF('Kachelofen'!$A:$A,$B197,'Kachelofen'!$F:$F)</f>
        <v/>
      </c>
      <c r="H197" s="27">
        <f>SUMIF('Gugelhupf'!$A:$A,$B197,'Gugelhupf'!$F:$F)</f>
        <v/>
      </c>
      <c r="I197" s="27">
        <f>SUMIF('Lucia'!$A:$A,$B197,'Lucia'!$F:$F)</f>
        <v/>
      </c>
      <c r="J197" s="27">
        <f>SUMIF('Bar'!$A:$A,$B197,'Bar'!$F:$F)</f>
        <v/>
      </c>
      <c r="K197" s="28">
        <f>SUM(E197:J197)</f>
        <v/>
      </c>
    </row>
    <row r="198">
      <c r="A198" s="15">
        <f>IF(Artikelstamm!$A198="","",Artikelstamm!$A198)</f>
        <v/>
      </c>
      <c r="B198" s="17">
        <f>IF(Artikelstamm!$B198="","",Artikelstamm!$B198)</f>
        <v/>
      </c>
      <c r="C198" s="17">
        <f>IF(Artikelstamm!$C198="","",Artikelstamm!$C198)</f>
        <v/>
      </c>
      <c r="D198" s="15">
        <f>IF(Artikelstamm!$E198="","",Artikelstamm!$E198)</f>
        <v/>
      </c>
      <c r="E198" s="29">
        <f>SUMIF('Hauptmagazin'!$A:$A,$B198,'Hauptmagazin'!$F:$F)</f>
        <v/>
      </c>
      <c r="F198" s="29">
        <f>SUMIF('Panorama'!$A:$A,$B198,'Panorama'!$F:$F)</f>
        <v/>
      </c>
      <c r="G198" s="29">
        <f>SUMIF('Kachelofen'!$A:$A,$B198,'Kachelofen'!$F:$F)</f>
        <v/>
      </c>
      <c r="H198" s="29">
        <f>SUMIF('Gugelhupf'!$A:$A,$B198,'Gugelhupf'!$F:$F)</f>
        <v/>
      </c>
      <c r="I198" s="29">
        <f>SUMIF('Lucia'!$A:$A,$B198,'Lucia'!$F:$F)</f>
        <v/>
      </c>
      <c r="J198" s="29">
        <f>SUMIF('Bar'!$A:$A,$B198,'Bar'!$F:$F)</f>
        <v/>
      </c>
      <c r="K198" s="30">
        <f>SUM(E198:J198)</f>
        <v/>
      </c>
    </row>
    <row r="199">
      <c r="A199" s="12">
        <f>IF(Artikelstamm!$A199="","",Artikelstamm!$A199)</f>
        <v/>
      </c>
      <c r="B199" s="14">
        <f>IF(Artikelstamm!$B199="","",Artikelstamm!$B199)</f>
        <v/>
      </c>
      <c r="C199" s="14">
        <f>IF(Artikelstamm!$C199="","",Artikelstamm!$C199)</f>
        <v/>
      </c>
      <c r="D199" s="12">
        <f>IF(Artikelstamm!$E199="","",Artikelstamm!$E199)</f>
        <v/>
      </c>
      <c r="E199" s="27">
        <f>SUMIF('Hauptmagazin'!$A:$A,$B199,'Hauptmagazin'!$F:$F)</f>
        <v/>
      </c>
      <c r="F199" s="27">
        <f>SUMIF('Panorama'!$A:$A,$B199,'Panorama'!$F:$F)</f>
        <v/>
      </c>
      <c r="G199" s="27">
        <f>SUMIF('Kachelofen'!$A:$A,$B199,'Kachelofen'!$F:$F)</f>
        <v/>
      </c>
      <c r="H199" s="27">
        <f>SUMIF('Gugelhupf'!$A:$A,$B199,'Gugelhupf'!$F:$F)</f>
        <v/>
      </c>
      <c r="I199" s="27">
        <f>SUMIF('Lucia'!$A:$A,$B199,'Lucia'!$F:$F)</f>
        <v/>
      </c>
      <c r="J199" s="27">
        <f>SUMIF('Bar'!$A:$A,$B199,'Bar'!$F:$F)</f>
        <v/>
      </c>
      <c r="K199" s="28">
        <f>SUM(E199:J199)</f>
        <v/>
      </c>
    </row>
    <row r="200">
      <c r="A200" s="15">
        <f>IF(Artikelstamm!$A200="","",Artikelstamm!$A200)</f>
        <v/>
      </c>
      <c r="B200" s="17">
        <f>IF(Artikelstamm!$B200="","",Artikelstamm!$B200)</f>
        <v/>
      </c>
      <c r="C200" s="17">
        <f>IF(Artikelstamm!$C200="","",Artikelstamm!$C200)</f>
        <v/>
      </c>
      <c r="D200" s="15">
        <f>IF(Artikelstamm!$E200="","",Artikelstamm!$E200)</f>
        <v/>
      </c>
      <c r="E200" s="29">
        <f>SUMIF('Hauptmagazin'!$A:$A,$B200,'Hauptmagazin'!$F:$F)</f>
        <v/>
      </c>
      <c r="F200" s="29">
        <f>SUMIF('Panorama'!$A:$A,$B200,'Panorama'!$F:$F)</f>
        <v/>
      </c>
      <c r="G200" s="29">
        <f>SUMIF('Kachelofen'!$A:$A,$B200,'Kachelofen'!$F:$F)</f>
        <v/>
      </c>
      <c r="H200" s="29">
        <f>SUMIF('Gugelhupf'!$A:$A,$B200,'Gugelhupf'!$F:$F)</f>
        <v/>
      </c>
      <c r="I200" s="29">
        <f>SUMIF('Lucia'!$A:$A,$B200,'Lucia'!$F:$F)</f>
        <v/>
      </c>
      <c r="J200" s="29">
        <f>SUMIF('Bar'!$A:$A,$B200,'Bar'!$F:$F)</f>
        <v/>
      </c>
      <c r="K200" s="30">
        <f>SUM(E200:J200)</f>
        <v/>
      </c>
    </row>
    <row r="201">
      <c r="A201" s="12">
        <f>IF(Artikelstamm!$A201="","",Artikelstamm!$A201)</f>
        <v/>
      </c>
      <c r="B201" s="14">
        <f>IF(Artikelstamm!$B201="","",Artikelstamm!$B201)</f>
        <v/>
      </c>
      <c r="C201" s="14">
        <f>IF(Artikelstamm!$C201="","",Artikelstamm!$C201)</f>
        <v/>
      </c>
      <c r="D201" s="12">
        <f>IF(Artikelstamm!$E201="","",Artikelstamm!$E201)</f>
        <v/>
      </c>
      <c r="E201" s="27">
        <f>SUMIF('Hauptmagazin'!$A:$A,$B201,'Hauptmagazin'!$F:$F)</f>
        <v/>
      </c>
      <c r="F201" s="27">
        <f>SUMIF('Panorama'!$A:$A,$B201,'Panorama'!$F:$F)</f>
        <v/>
      </c>
      <c r="G201" s="27">
        <f>SUMIF('Kachelofen'!$A:$A,$B201,'Kachelofen'!$F:$F)</f>
        <v/>
      </c>
      <c r="H201" s="27">
        <f>SUMIF('Gugelhupf'!$A:$A,$B201,'Gugelhupf'!$F:$F)</f>
        <v/>
      </c>
      <c r="I201" s="27">
        <f>SUMIF('Lucia'!$A:$A,$B201,'Lucia'!$F:$F)</f>
        <v/>
      </c>
      <c r="J201" s="27">
        <f>SUMIF('Bar'!$A:$A,$B201,'Bar'!$F:$F)</f>
        <v/>
      </c>
      <c r="K201" s="28">
        <f>SUM(E201:J201)</f>
        <v/>
      </c>
    </row>
    <row r="202">
      <c r="A202" s="15">
        <f>IF(Artikelstamm!$A202="","",Artikelstamm!$A202)</f>
        <v/>
      </c>
      <c r="B202" s="17">
        <f>IF(Artikelstamm!$B202="","",Artikelstamm!$B202)</f>
        <v/>
      </c>
      <c r="C202" s="17">
        <f>IF(Artikelstamm!$C202="","",Artikelstamm!$C202)</f>
        <v/>
      </c>
      <c r="D202" s="15">
        <f>IF(Artikelstamm!$E202="","",Artikelstamm!$E202)</f>
        <v/>
      </c>
      <c r="E202" s="29">
        <f>SUMIF('Hauptmagazin'!$A:$A,$B202,'Hauptmagazin'!$F:$F)</f>
        <v/>
      </c>
      <c r="F202" s="29">
        <f>SUMIF('Panorama'!$A:$A,$B202,'Panorama'!$F:$F)</f>
        <v/>
      </c>
      <c r="G202" s="29">
        <f>SUMIF('Kachelofen'!$A:$A,$B202,'Kachelofen'!$F:$F)</f>
        <v/>
      </c>
      <c r="H202" s="29">
        <f>SUMIF('Gugelhupf'!$A:$A,$B202,'Gugelhupf'!$F:$F)</f>
        <v/>
      </c>
      <c r="I202" s="29">
        <f>SUMIF('Lucia'!$A:$A,$B202,'Lucia'!$F:$F)</f>
        <v/>
      </c>
      <c r="J202" s="29">
        <f>SUMIF('Bar'!$A:$A,$B202,'Bar'!$F:$F)</f>
        <v/>
      </c>
      <c r="K202" s="30">
        <f>SUM(E202:J202)</f>
        <v/>
      </c>
    </row>
    <row r="203">
      <c r="A203" s="12">
        <f>IF(Artikelstamm!$A203="","",Artikelstamm!$A203)</f>
        <v/>
      </c>
      <c r="B203" s="14">
        <f>IF(Artikelstamm!$B203="","",Artikelstamm!$B203)</f>
        <v/>
      </c>
      <c r="C203" s="14">
        <f>IF(Artikelstamm!$C203="","",Artikelstamm!$C203)</f>
        <v/>
      </c>
      <c r="D203" s="12">
        <f>IF(Artikelstamm!$E203="","",Artikelstamm!$E203)</f>
        <v/>
      </c>
      <c r="E203" s="27">
        <f>SUMIF('Hauptmagazin'!$A:$A,$B203,'Hauptmagazin'!$F:$F)</f>
        <v/>
      </c>
      <c r="F203" s="27">
        <f>SUMIF('Panorama'!$A:$A,$B203,'Panorama'!$F:$F)</f>
        <v/>
      </c>
      <c r="G203" s="27">
        <f>SUMIF('Kachelofen'!$A:$A,$B203,'Kachelofen'!$F:$F)</f>
        <v/>
      </c>
      <c r="H203" s="27">
        <f>SUMIF('Gugelhupf'!$A:$A,$B203,'Gugelhupf'!$F:$F)</f>
        <v/>
      </c>
      <c r="I203" s="27">
        <f>SUMIF('Lucia'!$A:$A,$B203,'Lucia'!$F:$F)</f>
        <v/>
      </c>
      <c r="J203" s="27">
        <f>SUMIF('Bar'!$A:$A,$B203,'Bar'!$F:$F)</f>
        <v/>
      </c>
      <c r="K203" s="28">
        <f>SUM(E203:J203)</f>
        <v/>
      </c>
    </row>
    <row r="204">
      <c r="A204" s="15">
        <f>IF(Artikelstamm!$A204="","",Artikelstamm!$A204)</f>
        <v/>
      </c>
      <c r="B204" s="17">
        <f>IF(Artikelstamm!$B204="","",Artikelstamm!$B204)</f>
        <v/>
      </c>
      <c r="C204" s="17">
        <f>IF(Artikelstamm!$C204="","",Artikelstamm!$C204)</f>
        <v/>
      </c>
      <c r="D204" s="15">
        <f>IF(Artikelstamm!$E204="","",Artikelstamm!$E204)</f>
        <v/>
      </c>
      <c r="E204" s="29">
        <f>SUMIF('Hauptmagazin'!$A:$A,$B204,'Hauptmagazin'!$F:$F)</f>
        <v/>
      </c>
      <c r="F204" s="29">
        <f>SUMIF('Panorama'!$A:$A,$B204,'Panorama'!$F:$F)</f>
        <v/>
      </c>
      <c r="G204" s="29">
        <f>SUMIF('Kachelofen'!$A:$A,$B204,'Kachelofen'!$F:$F)</f>
        <v/>
      </c>
      <c r="H204" s="29">
        <f>SUMIF('Gugelhupf'!$A:$A,$B204,'Gugelhupf'!$F:$F)</f>
        <v/>
      </c>
      <c r="I204" s="29">
        <f>SUMIF('Lucia'!$A:$A,$B204,'Lucia'!$F:$F)</f>
        <v/>
      </c>
      <c r="J204" s="29">
        <f>SUMIF('Bar'!$A:$A,$B204,'Bar'!$F:$F)</f>
        <v/>
      </c>
      <c r="K204" s="30">
        <f>SUM(E204:J204)</f>
        <v/>
      </c>
    </row>
    <row r="205">
      <c r="A205" s="12">
        <f>IF(Artikelstamm!$A205="","",Artikelstamm!$A205)</f>
        <v/>
      </c>
      <c r="B205" s="14">
        <f>IF(Artikelstamm!$B205="","",Artikelstamm!$B205)</f>
        <v/>
      </c>
      <c r="C205" s="14">
        <f>IF(Artikelstamm!$C205="","",Artikelstamm!$C205)</f>
        <v/>
      </c>
      <c r="D205" s="12">
        <f>IF(Artikelstamm!$E205="","",Artikelstamm!$E205)</f>
        <v/>
      </c>
      <c r="E205" s="27">
        <f>SUMIF('Hauptmagazin'!$A:$A,$B205,'Hauptmagazin'!$F:$F)</f>
        <v/>
      </c>
      <c r="F205" s="27">
        <f>SUMIF('Panorama'!$A:$A,$B205,'Panorama'!$F:$F)</f>
        <v/>
      </c>
      <c r="G205" s="27">
        <f>SUMIF('Kachelofen'!$A:$A,$B205,'Kachelofen'!$F:$F)</f>
        <v/>
      </c>
      <c r="H205" s="27">
        <f>SUMIF('Gugelhupf'!$A:$A,$B205,'Gugelhupf'!$F:$F)</f>
        <v/>
      </c>
      <c r="I205" s="27">
        <f>SUMIF('Lucia'!$A:$A,$B205,'Lucia'!$F:$F)</f>
        <v/>
      </c>
      <c r="J205" s="27">
        <f>SUMIF('Bar'!$A:$A,$B205,'Bar'!$F:$F)</f>
        <v/>
      </c>
      <c r="K205" s="28">
        <f>SUM(E205:J205)</f>
        <v/>
      </c>
    </row>
    <row r="206">
      <c r="A206" s="15">
        <f>IF(Artikelstamm!$A206="","",Artikelstamm!$A206)</f>
        <v/>
      </c>
      <c r="B206" s="17">
        <f>IF(Artikelstamm!$B206="","",Artikelstamm!$B206)</f>
        <v/>
      </c>
      <c r="C206" s="17">
        <f>IF(Artikelstamm!$C206="","",Artikelstamm!$C206)</f>
        <v/>
      </c>
      <c r="D206" s="15">
        <f>IF(Artikelstamm!$E206="","",Artikelstamm!$E206)</f>
        <v/>
      </c>
      <c r="E206" s="29">
        <f>SUMIF('Hauptmagazin'!$A:$A,$B206,'Hauptmagazin'!$F:$F)</f>
        <v/>
      </c>
      <c r="F206" s="29">
        <f>SUMIF('Panorama'!$A:$A,$B206,'Panorama'!$F:$F)</f>
        <v/>
      </c>
      <c r="G206" s="29">
        <f>SUMIF('Kachelofen'!$A:$A,$B206,'Kachelofen'!$F:$F)</f>
        <v/>
      </c>
      <c r="H206" s="29">
        <f>SUMIF('Gugelhupf'!$A:$A,$B206,'Gugelhupf'!$F:$F)</f>
        <v/>
      </c>
      <c r="I206" s="29">
        <f>SUMIF('Lucia'!$A:$A,$B206,'Lucia'!$F:$F)</f>
        <v/>
      </c>
      <c r="J206" s="29">
        <f>SUMIF('Bar'!$A:$A,$B206,'Bar'!$F:$F)</f>
        <v/>
      </c>
      <c r="K206" s="30">
        <f>SUM(E206:J206)</f>
        <v/>
      </c>
    </row>
    <row r="207">
      <c r="A207" s="12">
        <f>IF(Artikelstamm!$A207="","",Artikelstamm!$A207)</f>
        <v/>
      </c>
      <c r="B207" s="14">
        <f>IF(Artikelstamm!$B207="","",Artikelstamm!$B207)</f>
        <v/>
      </c>
      <c r="C207" s="14">
        <f>IF(Artikelstamm!$C207="","",Artikelstamm!$C207)</f>
        <v/>
      </c>
      <c r="D207" s="12">
        <f>IF(Artikelstamm!$E207="","",Artikelstamm!$E207)</f>
        <v/>
      </c>
      <c r="E207" s="27">
        <f>SUMIF('Hauptmagazin'!$A:$A,$B207,'Hauptmagazin'!$F:$F)</f>
        <v/>
      </c>
      <c r="F207" s="27">
        <f>SUMIF('Panorama'!$A:$A,$B207,'Panorama'!$F:$F)</f>
        <v/>
      </c>
      <c r="G207" s="27">
        <f>SUMIF('Kachelofen'!$A:$A,$B207,'Kachelofen'!$F:$F)</f>
        <v/>
      </c>
      <c r="H207" s="27">
        <f>SUMIF('Gugelhupf'!$A:$A,$B207,'Gugelhupf'!$F:$F)</f>
        <v/>
      </c>
      <c r="I207" s="27">
        <f>SUMIF('Lucia'!$A:$A,$B207,'Lucia'!$F:$F)</f>
        <v/>
      </c>
      <c r="J207" s="27">
        <f>SUMIF('Bar'!$A:$A,$B207,'Bar'!$F:$F)</f>
        <v/>
      </c>
      <c r="K207" s="28">
        <f>SUM(E207:J207)</f>
        <v/>
      </c>
    </row>
    <row r="208">
      <c r="A208" s="15">
        <f>IF(Artikelstamm!$A208="","",Artikelstamm!$A208)</f>
        <v/>
      </c>
      <c r="B208" s="17">
        <f>IF(Artikelstamm!$B208="","",Artikelstamm!$B208)</f>
        <v/>
      </c>
      <c r="C208" s="17">
        <f>IF(Artikelstamm!$C208="","",Artikelstamm!$C208)</f>
        <v/>
      </c>
      <c r="D208" s="15">
        <f>IF(Artikelstamm!$E208="","",Artikelstamm!$E208)</f>
        <v/>
      </c>
      <c r="E208" s="29">
        <f>SUMIF('Hauptmagazin'!$A:$A,$B208,'Hauptmagazin'!$F:$F)</f>
        <v/>
      </c>
      <c r="F208" s="29">
        <f>SUMIF('Panorama'!$A:$A,$B208,'Panorama'!$F:$F)</f>
        <v/>
      </c>
      <c r="G208" s="29">
        <f>SUMIF('Kachelofen'!$A:$A,$B208,'Kachelofen'!$F:$F)</f>
        <v/>
      </c>
      <c r="H208" s="29">
        <f>SUMIF('Gugelhupf'!$A:$A,$B208,'Gugelhupf'!$F:$F)</f>
        <v/>
      </c>
      <c r="I208" s="29">
        <f>SUMIF('Lucia'!$A:$A,$B208,'Lucia'!$F:$F)</f>
        <v/>
      </c>
      <c r="J208" s="29">
        <f>SUMIF('Bar'!$A:$A,$B208,'Bar'!$F:$F)</f>
        <v/>
      </c>
      <c r="K208" s="30">
        <f>SUM(E208:J208)</f>
        <v/>
      </c>
    </row>
    <row r="209">
      <c r="A209" s="12">
        <f>IF(Artikelstamm!$A209="","",Artikelstamm!$A209)</f>
        <v/>
      </c>
      <c r="B209" s="14">
        <f>IF(Artikelstamm!$B209="","",Artikelstamm!$B209)</f>
        <v/>
      </c>
      <c r="C209" s="14">
        <f>IF(Artikelstamm!$C209="","",Artikelstamm!$C209)</f>
        <v/>
      </c>
      <c r="D209" s="12">
        <f>IF(Artikelstamm!$E209="","",Artikelstamm!$E209)</f>
        <v/>
      </c>
      <c r="E209" s="27">
        <f>SUMIF('Hauptmagazin'!$A:$A,$B209,'Hauptmagazin'!$F:$F)</f>
        <v/>
      </c>
      <c r="F209" s="27">
        <f>SUMIF('Panorama'!$A:$A,$B209,'Panorama'!$F:$F)</f>
        <v/>
      </c>
      <c r="G209" s="27">
        <f>SUMIF('Kachelofen'!$A:$A,$B209,'Kachelofen'!$F:$F)</f>
        <v/>
      </c>
      <c r="H209" s="27">
        <f>SUMIF('Gugelhupf'!$A:$A,$B209,'Gugelhupf'!$F:$F)</f>
        <v/>
      </c>
      <c r="I209" s="27">
        <f>SUMIF('Lucia'!$A:$A,$B209,'Lucia'!$F:$F)</f>
        <v/>
      </c>
      <c r="J209" s="27">
        <f>SUMIF('Bar'!$A:$A,$B209,'Bar'!$F:$F)</f>
        <v/>
      </c>
      <c r="K209" s="28">
        <f>SUM(E209:J209)</f>
        <v/>
      </c>
    </row>
    <row r="210">
      <c r="A210" s="15">
        <f>IF(Artikelstamm!$A210="","",Artikelstamm!$A210)</f>
        <v/>
      </c>
      <c r="B210" s="17">
        <f>IF(Artikelstamm!$B210="","",Artikelstamm!$B210)</f>
        <v/>
      </c>
      <c r="C210" s="17">
        <f>IF(Artikelstamm!$C210="","",Artikelstamm!$C210)</f>
        <v/>
      </c>
      <c r="D210" s="15">
        <f>IF(Artikelstamm!$E210="","",Artikelstamm!$E210)</f>
        <v/>
      </c>
      <c r="E210" s="29">
        <f>SUMIF('Hauptmagazin'!$A:$A,$B210,'Hauptmagazin'!$F:$F)</f>
        <v/>
      </c>
      <c r="F210" s="29">
        <f>SUMIF('Panorama'!$A:$A,$B210,'Panorama'!$F:$F)</f>
        <v/>
      </c>
      <c r="G210" s="29">
        <f>SUMIF('Kachelofen'!$A:$A,$B210,'Kachelofen'!$F:$F)</f>
        <v/>
      </c>
      <c r="H210" s="29">
        <f>SUMIF('Gugelhupf'!$A:$A,$B210,'Gugelhupf'!$F:$F)</f>
        <v/>
      </c>
      <c r="I210" s="29">
        <f>SUMIF('Lucia'!$A:$A,$B210,'Lucia'!$F:$F)</f>
        <v/>
      </c>
      <c r="J210" s="29">
        <f>SUMIF('Bar'!$A:$A,$B210,'Bar'!$F:$F)</f>
        <v/>
      </c>
      <c r="K210" s="30">
        <f>SUM(E210:J210)</f>
        <v/>
      </c>
    </row>
    <row r="211">
      <c r="A211" s="12">
        <f>IF(Artikelstamm!$A211="","",Artikelstamm!$A211)</f>
        <v/>
      </c>
      <c r="B211" s="14">
        <f>IF(Artikelstamm!$B211="","",Artikelstamm!$B211)</f>
        <v/>
      </c>
      <c r="C211" s="14">
        <f>IF(Artikelstamm!$C211="","",Artikelstamm!$C211)</f>
        <v/>
      </c>
      <c r="D211" s="12">
        <f>IF(Artikelstamm!$E211="","",Artikelstamm!$E211)</f>
        <v/>
      </c>
      <c r="E211" s="27">
        <f>SUMIF('Hauptmagazin'!$A:$A,$B211,'Hauptmagazin'!$F:$F)</f>
        <v/>
      </c>
      <c r="F211" s="27">
        <f>SUMIF('Panorama'!$A:$A,$B211,'Panorama'!$F:$F)</f>
        <v/>
      </c>
      <c r="G211" s="27">
        <f>SUMIF('Kachelofen'!$A:$A,$B211,'Kachelofen'!$F:$F)</f>
        <v/>
      </c>
      <c r="H211" s="27">
        <f>SUMIF('Gugelhupf'!$A:$A,$B211,'Gugelhupf'!$F:$F)</f>
        <v/>
      </c>
      <c r="I211" s="27">
        <f>SUMIF('Lucia'!$A:$A,$B211,'Lucia'!$F:$F)</f>
        <v/>
      </c>
      <c r="J211" s="27">
        <f>SUMIF('Bar'!$A:$A,$B211,'Bar'!$F:$F)</f>
        <v/>
      </c>
      <c r="K211" s="28">
        <f>SUM(E211:J211)</f>
        <v/>
      </c>
    </row>
    <row r="212">
      <c r="A212" s="15">
        <f>IF(Artikelstamm!$A212="","",Artikelstamm!$A212)</f>
        <v/>
      </c>
      <c r="B212" s="17">
        <f>IF(Artikelstamm!$B212="","",Artikelstamm!$B212)</f>
        <v/>
      </c>
      <c r="C212" s="17">
        <f>IF(Artikelstamm!$C212="","",Artikelstamm!$C212)</f>
        <v/>
      </c>
      <c r="D212" s="15">
        <f>IF(Artikelstamm!$E212="","",Artikelstamm!$E212)</f>
        <v/>
      </c>
      <c r="E212" s="29">
        <f>SUMIF('Hauptmagazin'!$A:$A,$B212,'Hauptmagazin'!$F:$F)</f>
        <v/>
      </c>
      <c r="F212" s="29">
        <f>SUMIF('Panorama'!$A:$A,$B212,'Panorama'!$F:$F)</f>
        <v/>
      </c>
      <c r="G212" s="29">
        <f>SUMIF('Kachelofen'!$A:$A,$B212,'Kachelofen'!$F:$F)</f>
        <v/>
      </c>
      <c r="H212" s="29">
        <f>SUMIF('Gugelhupf'!$A:$A,$B212,'Gugelhupf'!$F:$F)</f>
        <v/>
      </c>
      <c r="I212" s="29">
        <f>SUMIF('Lucia'!$A:$A,$B212,'Lucia'!$F:$F)</f>
        <v/>
      </c>
      <c r="J212" s="29">
        <f>SUMIF('Bar'!$A:$A,$B212,'Bar'!$F:$F)</f>
        <v/>
      </c>
      <c r="K212" s="30">
        <f>SUM(E212:J212)</f>
        <v/>
      </c>
    </row>
    <row r="213">
      <c r="A213" s="12">
        <f>IF(Artikelstamm!$A213="","",Artikelstamm!$A213)</f>
        <v/>
      </c>
      <c r="B213" s="14">
        <f>IF(Artikelstamm!$B213="","",Artikelstamm!$B213)</f>
        <v/>
      </c>
      <c r="C213" s="14">
        <f>IF(Artikelstamm!$C213="","",Artikelstamm!$C213)</f>
        <v/>
      </c>
      <c r="D213" s="12">
        <f>IF(Artikelstamm!$E213="","",Artikelstamm!$E213)</f>
        <v/>
      </c>
      <c r="E213" s="27">
        <f>SUMIF('Hauptmagazin'!$A:$A,$B213,'Hauptmagazin'!$F:$F)</f>
        <v/>
      </c>
      <c r="F213" s="27">
        <f>SUMIF('Panorama'!$A:$A,$B213,'Panorama'!$F:$F)</f>
        <v/>
      </c>
      <c r="G213" s="27">
        <f>SUMIF('Kachelofen'!$A:$A,$B213,'Kachelofen'!$F:$F)</f>
        <v/>
      </c>
      <c r="H213" s="27">
        <f>SUMIF('Gugelhupf'!$A:$A,$B213,'Gugelhupf'!$F:$F)</f>
        <v/>
      </c>
      <c r="I213" s="27">
        <f>SUMIF('Lucia'!$A:$A,$B213,'Lucia'!$F:$F)</f>
        <v/>
      </c>
      <c r="J213" s="27">
        <f>SUMIF('Bar'!$A:$A,$B213,'Bar'!$F:$F)</f>
        <v/>
      </c>
      <c r="K213" s="28">
        <f>SUM(E213:J213)</f>
        <v/>
      </c>
    </row>
    <row r="214">
      <c r="A214" s="15">
        <f>IF(Artikelstamm!$A214="","",Artikelstamm!$A214)</f>
        <v/>
      </c>
      <c r="B214" s="17">
        <f>IF(Artikelstamm!$B214="","",Artikelstamm!$B214)</f>
        <v/>
      </c>
      <c r="C214" s="17">
        <f>IF(Artikelstamm!$C214="","",Artikelstamm!$C214)</f>
        <v/>
      </c>
      <c r="D214" s="15">
        <f>IF(Artikelstamm!$E214="","",Artikelstamm!$E214)</f>
        <v/>
      </c>
      <c r="E214" s="29">
        <f>SUMIF('Hauptmagazin'!$A:$A,$B214,'Hauptmagazin'!$F:$F)</f>
        <v/>
      </c>
      <c r="F214" s="29">
        <f>SUMIF('Panorama'!$A:$A,$B214,'Panorama'!$F:$F)</f>
        <v/>
      </c>
      <c r="G214" s="29">
        <f>SUMIF('Kachelofen'!$A:$A,$B214,'Kachelofen'!$F:$F)</f>
        <v/>
      </c>
      <c r="H214" s="29">
        <f>SUMIF('Gugelhupf'!$A:$A,$B214,'Gugelhupf'!$F:$F)</f>
        <v/>
      </c>
      <c r="I214" s="29">
        <f>SUMIF('Lucia'!$A:$A,$B214,'Lucia'!$F:$F)</f>
        <v/>
      </c>
      <c r="J214" s="29">
        <f>SUMIF('Bar'!$A:$A,$B214,'Bar'!$F:$F)</f>
        <v/>
      </c>
      <c r="K214" s="30">
        <f>SUM(E214:J214)</f>
        <v/>
      </c>
    </row>
    <row r="215">
      <c r="A215" s="12">
        <f>IF(Artikelstamm!$A215="","",Artikelstamm!$A215)</f>
        <v/>
      </c>
      <c r="B215" s="14">
        <f>IF(Artikelstamm!$B215="","",Artikelstamm!$B215)</f>
        <v/>
      </c>
      <c r="C215" s="14">
        <f>IF(Artikelstamm!$C215="","",Artikelstamm!$C215)</f>
        <v/>
      </c>
      <c r="D215" s="12">
        <f>IF(Artikelstamm!$E215="","",Artikelstamm!$E215)</f>
        <v/>
      </c>
      <c r="E215" s="27">
        <f>SUMIF('Hauptmagazin'!$A:$A,$B215,'Hauptmagazin'!$F:$F)</f>
        <v/>
      </c>
      <c r="F215" s="27">
        <f>SUMIF('Panorama'!$A:$A,$B215,'Panorama'!$F:$F)</f>
        <v/>
      </c>
      <c r="G215" s="27">
        <f>SUMIF('Kachelofen'!$A:$A,$B215,'Kachelofen'!$F:$F)</f>
        <v/>
      </c>
      <c r="H215" s="27">
        <f>SUMIF('Gugelhupf'!$A:$A,$B215,'Gugelhupf'!$F:$F)</f>
        <v/>
      </c>
      <c r="I215" s="27">
        <f>SUMIF('Lucia'!$A:$A,$B215,'Lucia'!$F:$F)</f>
        <v/>
      </c>
      <c r="J215" s="27">
        <f>SUMIF('Bar'!$A:$A,$B215,'Bar'!$F:$F)</f>
        <v/>
      </c>
      <c r="K215" s="28">
        <f>SUM(E215:J215)</f>
        <v/>
      </c>
    </row>
    <row r="216">
      <c r="A216" s="15">
        <f>IF(Artikelstamm!$A216="","",Artikelstamm!$A216)</f>
        <v/>
      </c>
      <c r="B216" s="17">
        <f>IF(Artikelstamm!$B216="","",Artikelstamm!$B216)</f>
        <v/>
      </c>
      <c r="C216" s="17">
        <f>IF(Artikelstamm!$C216="","",Artikelstamm!$C216)</f>
        <v/>
      </c>
      <c r="D216" s="15">
        <f>IF(Artikelstamm!$E216="","",Artikelstamm!$E216)</f>
        <v/>
      </c>
      <c r="E216" s="29">
        <f>SUMIF('Hauptmagazin'!$A:$A,$B216,'Hauptmagazin'!$F:$F)</f>
        <v/>
      </c>
      <c r="F216" s="29">
        <f>SUMIF('Panorama'!$A:$A,$B216,'Panorama'!$F:$F)</f>
        <v/>
      </c>
      <c r="G216" s="29">
        <f>SUMIF('Kachelofen'!$A:$A,$B216,'Kachelofen'!$F:$F)</f>
        <v/>
      </c>
      <c r="H216" s="29">
        <f>SUMIF('Gugelhupf'!$A:$A,$B216,'Gugelhupf'!$F:$F)</f>
        <v/>
      </c>
      <c r="I216" s="29">
        <f>SUMIF('Lucia'!$A:$A,$B216,'Lucia'!$F:$F)</f>
        <v/>
      </c>
      <c r="J216" s="29">
        <f>SUMIF('Bar'!$A:$A,$B216,'Bar'!$F:$F)</f>
        <v/>
      </c>
      <c r="K216" s="30">
        <f>SUM(E216:J216)</f>
        <v/>
      </c>
    </row>
    <row r="217">
      <c r="A217" s="12">
        <f>IF(Artikelstamm!$A217="","",Artikelstamm!$A217)</f>
        <v/>
      </c>
      <c r="B217" s="14">
        <f>IF(Artikelstamm!$B217="","",Artikelstamm!$B217)</f>
        <v/>
      </c>
      <c r="C217" s="14">
        <f>IF(Artikelstamm!$C217="","",Artikelstamm!$C217)</f>
        <v/>
      </c>
      <c r="D217" s="12">
        <f>IF(Artikelstamm!$E217="","",Artikelstamm!$E217)</f>
        <v/>
      </c>
      <c r="E217" s="27">
        <f>SUMIF('Hauptmagazin'!$A:$A,$B217,'Hauptmagazin'!$F:$F)</f>
        <v/>
      </c>
      <c r="F217" s="27">
        <f>SUMIF('Panorama'!$A:$A,$B217,'Panorama'!$F:$F)</f>
        <v/>
      </c>
      <c r="G217" s="27">
        <f>SUMIF('Kachelofen'!$A:$A,$B217,'Kachelofen'!$F:$F)</f>
        <v/>
      </c>
      <c r="H217" s="27">
        <f>SUMIF('Gugelhupf'!$A:$A,$B217,'Gugelhupf'!$F:$F)</f>
        <v/>
      </c>
      <c r="I217" s="27">
        <f>SUMIF('Lucia'!$A:$A,$B217,'Lucia'!$F:$F)</f>
        <v/>
      </c>
      <c r="J217" s="27">
        <f>SUMIF('Bar'!$A:$A,$B217,'Bar'!$F:$F)</f>
        <v/>
      </c>
      <c r="K217" s="28">
        <f>SUM(E217:J217)</f>
        <v/>
      </c>
    </row>
    <row r="218">
      <c r="A218" s="15">
        <f>IF(Artikelstamm!$A218="","",Artikelstamm!$A218)</f>
        <v/>
      </c>
      <c r="B218" s="17">
        <f>IF(Artikelstamm!$B218="","",Artikelstamm!$B218)</f>
        <v/>
      </c>
      <c r="C218" s="17">
        <f>IF(Artikelstamm!$C218="","",Artikelstamm!$C218)</f>
        <v/>
      </c>
      <c r="D218" s="15">
        <f>IF(Artikelstamm!$E218="","",Artikelstamm!$E218)</f>
        <v/>
      </c>
      <c r="E218" s="29">
        <f>SUMIF('Hauptmagazin'!$A:$A,$B218,'Hauptmagazin'!$F:$F)</f>
        <v/>
      </c>
      <c r="F218" s="29">
        <f>SUMIF('Panorama'!$A:$A,$B218,'Panorama'!$F:$F)</f>
        <v/>
      </c>
      <c r="G218" s="29">
        <f>SUMIF('Kachelofen'!$A:$A,$B218,'Kachelofen'!$F:$F)</f>
        <v/>
      </c>
      <c r="H218" s="29">
        <f>SUMIF('Gugelhupf'!$A:$A,$B218,'Gugelhupf'!$F:$F)</f>
        <v/>
      </c>
      <c r="I218" s="29">
        <f>SUMIF('Lucia'!$A:$A,$B218,'Lucia'!$F:$F)</f>
        <v/>
      </c>
      <c r="J218" s="29">
        <f>SUMIF('Bar'!$A:$A,$B218,'Bar'!$F:$F)</f>
        <v/>
      </c>
      <c r="K218" s="30">
        <f>SUM(E218:J218)</f>
        <v/>
      </c>
    </row>
    <row r="219">
      <c r="A219" s="12">
        <f>IF(Artikelstamm!$A219="","",Artikelstamm!$A219)</f>
        <v/>
      </c>
      <c r="B219" s="14">
        <f>IF(Artikelstamm!$B219="","",Artikelstamm!$B219)</f>
        <v/>
      </c>
      <c r="C219" s="14">
        <f>IF(Artikelstamm!$C219="","",Artikelstamm!$C219)</f>
        <v/>
      </c>
      <c r="D219" s="12">
        <f>IF(Artikelstamm!$E219="","",Artikelstamm!$E219)</f>
        <v/>
      </c>
      <c r="E219" s="27">
        <f>SUMIF('Hauptmagazin'!$A:$A,$B219,'Hauptmagazin'!$F:$F)</f>
        <v/>
      </c>
      <c r="F219" s="27">
        <f>SUMIF('Panorama'!$A:$A,$B219,'Panorama'!$F:$F)</f>
        <v/>
      </c>
      <c r="G219" s="27">
        <f>SUMIF('Kachelofen'!$A:$A,$B219,'Kachelofen'!$F:$F)</f>
        <v/>
      </c>
      <c r="H219" s="27">
        <f>SUMIF('Gugelhupf'!$A:$A,$B219,'Gugelhupf'!$F:$F)</f>
        <v/>
      </c>
      <c r="I219" s="27">
        <f>SUMIF('Lucia'!$A:$A,$B219,'Lucia'!$F:$F)</f>
        <v/>
      </c>
      <c r="J219" s="27">
        <f>SUMIF('Bar'!$A:$A,$B219,'Bar'!$F:$F)</f>
        <v/>
      </c>
      <c r="K219" s="28">
        <f>SUM(E219:J219)</f>
        <v/>
      </c>
    </row>
    <row r="220">
      <c r="A220" s="15">
        <f>IF(Artikelstamm!$A220="","",Artikelstamm!$A220)</f>
        <v/>
      </c>
      <c r="B220" s="17">
        <f>IF(Artikelstamm!$B220="","",Artikelstamm!$B220)</f>
        <v/>
      </c>
      <c r="C220" s="17">
        <f>IF(Artikelstamm!$C220="","",Artikelstamm!$C220)</f>
        <v/>
      </c>
      <c r="D220" s="15">
        <f>IF(Artikelstamm!$E220="","",Artikelstamm!$E220)</f>
        <v/>
      </c>
      <c r="E220" s="29">
        <f>SUMIF('Hauptmagazin'!$A:$A,$B220,'Hauptmagazin'!$F:$F)</f>
        <v/>
      </c>
      <c r="F220" s="29">
        <f>SUMIF('Panorama'!$A:$A,$B220,'Panorama'!$F:$F)</f>
        <v/>
      </c>
      <c r="G220" s="29">
        <f>SUMIF('Kachelofen'!$A:$A,$B220,'Kachelofen'!$F:$F)</f>
        <v/>
      </c>
      <c r="H220" s="29">
        <f>SUMIF('Gugelhupf'!$A:$A,$B220,'Gugelhupf'!$F:$F)</f>
        <v/>
      </c>
      <c r="I220" s="29">
        <f>SUMIF('Lucia'!$A:$A,$B220,'Lucia'!$F:$F)</f>
        <v/>
      </c>
      <c r="J220" s="29">
        <f>SUMIF('Bar'!$A:$A,$B220,'Bar'!$F:$F)</f>
        <v/>
      </c>
      <c r="K220" s="30">
        <f>SUM(E220:J220)</f>
        <v/>
      </c>
    </row>
    <row r="221">
      <c r="A221" s="12">
        <f>IF(Artikelstamm!$A221="","",Artikelstamm!$A221)</f>
        <v/>
      </c>
      <c r="B221" s="14">
        <f>IF(Artikelstamm!$B221="","",Artikelstamm!$B221)</f>
        <v/>
      </c>
      <c r="C221" s="14">
        <f>IF(Artikelstamm!$C221="","",Artikelstamm!$C221)</f>
        <v/>
      </c>
      <c r="D221" s="12">
        <f>IF(Artikelstamm!$E221="","",Artikelstamm!$E221)</f>
        <v/>
      </c>
      <c r="E221" s="27">
        <f>SUMIF('Hauptmagazin'!$A:$A,$B221,'Hauptmagazin'!$F:$F)</f>
        <v/>
      </c>
      <c r="F221" s="27">
        <f>SUMIF('Panorama'!$A:$A,$B221,'Panorama'!$F:$F)</f>
        <v/>
      </c>
      <c r="G221" s="27">
        <f>SUMIF('Kachelofen'!$A:$A,$B221,'Kachelofen'!$F:$F)</f>
        <v/>
      </c>
      <c r="H221" s="27">
        <f>SUMIF('Gugelhupf'!$A:$A,$B221,'Gugelhupf'!$F:$F)</f>
        <v/>
      </c>
      <c r="I221" s="27">
        <f>SUMIF('Lucia'!$A:$A,$B221,'Lucia'!$F:$F)</f>
        <v/>
      </c>
      <c r="J221" s="27">
        <f>SUMIF('Bar'!$A:$A,$B221,'Bar'!$F:$F)</f>
        <v/>
      </c>
      <c r="K221" s="28">
        <f>SUM(E221:J221)</f>
        <v/>
      </c>
    </row>
    <row r="222">
      <c r="A222" s="15">
        <f>IF(Artikelstamm!$A222="","",Artikelstamm!$A222)</f>
        <v/>
      </c>
      <c r="B222" s="17">
        <f>IF(Artikelstamm!$B222="","",Artikelstamm!$B222)</f>
        <v/>
      </c>
      <c r="C222" s="17">
        <f>IF(Artikelstamm!$C222="","",Artikelstamm!$C222)</f>
        <v/>
      </c>
      <c r="D222" s="15">
        <f>IF(Artikelstamm!$E222="","",Artikelstamm!$E222)</f>
        <v/>
      </c>
      <c r="E222" s="29">
        <f>SUMIF('Hauptmagazin'!$A:$A,$B222,'Hauptmagazin'!$F:$F)</f>
        <v/>
      </c>
      <c r="F222" s="29">
        <f>SUMIF('Panorama'!$A:$A,$B222,'Panorama'!$F:$F)</f>
        <v/>
      </c>
      <c r="G222" s="29">
        <f>SUMIF('Kachelofen'!$A:$A,$B222,'Kachelofen'!$F:$F)</f>
        <v/>
      </c>
      <c r="H222" s="29">
        <f>SUMIF('Gugelhupf'!$A:$A,$B222,'Gugelhupf'!$F:$F)</f>
        <v/>
      </c>
      <c r="I222" s="29">
        <f>SUMIF('Lucia'!$A:$A,$B222,'Lucia'!$F:$F)</f>
        <v/>
      </c>
      <c r="J222" s="29">
        <f>SUMIF('Bar'!$A:$A,$B222,'Bar'!$F:$F)</f>
        <v/>
      </c>
      <c r="K222" s="30">
        <f>SUM(E222:J222)</f>
        <v/>
      </c>
    </row>
    <row r="223">
      <c r="A223" s="12">
        <f>IF(Artikelstamm!$A223="","",Artikelstamm!$A223)</f>
        <v/>
      </c>
      <c r="B223" s="14">
        <f>IF(Artikelstamm!$B223="","",Artikelstamm!$B223)</f>
        <v/>
      </c>
      <c r="C223" s="14">
        <f>IF(Artikelstamm!$C223="","",Artikelstamm!$C223)</f>
        <v/>
      </c>
      <c r="D223" s="12">
        <f>IF(Artikelstamm!$E223="","",Artikelstamm!$E223)</f>
        <v/>
      </c>
      <c r="E223" s="27">
        <f>SUMIF('Hauptmagazin'!$A:$A,$B223,'Hauptmagazin'!$F:$F)</f>
        <v/>
      </c>
      <c r="F223" s="27">
        <f>SUMIF('Panorama'!$A:$A,$B223,'Panorama'!$F:$F)</f>
        <v/>
      </c>
      <c r="G223" s="27">
        <f>SUMIF('Kachelofen'!$A:$A,$B223,'Kachelofen'!$F:$F)</f>
        <v/>
      </c>
      <c r="H223" s="27">
        <f>SUMIF('Gugelhupf'!$A:$A,$B223,'Gugelhupf'!$F:$F)</f>
        <v/>
      </c>
      <c r="I223" s="27">
        <f>SUMIF('Lucia'!$A:$A,$B223,'Lucia'!$F:$F)</f>
        <v/>
      </c>
      <c r="J223" s="27">
        <f>SUMIF('Bar'!$A:$A,$B223,'Bar'!$F:$F)</f>
        <v/>
      </c>
      <c r="K223" s="28">
        <f>SUM(E223:J223)</f>
        <v/>
      </c>
    </row>
    <row r="224">
      <c r="A224" s="15">
        <f>IF(Artikelstamm!$A224="","",Artikelstamm!$A224)</f>
        <v/>
      </c>
      <c r="B224" s="17">
        <f>IF(Artikelstamm!$B224="","",Artikelstamm!$B224)</f>
        <v/>
      </c>
      <c r="C224" s="17">
        <f>IF(Artikelstamm!$C224="","",Artikelstamm!$C224)</f>
        <v/>
      </c>
      <c r="D224" s="15">
        <f>IF(Artikelstamm!$E224="","",Artikelstamm!$E224)</f>
        <v/>
      </c>
      <c r="E224" s="29">
        <f>SUMIF('Hauptmagazin'!$A:$A,$B224,'Hauptmagazin'!$F:$F)</f>
        <v/>
      </c>
      <c r="F224" s="29">
        <f>SUMIF('Panorama'!$A:$A,$B224,'Panorama'!$F:$F)</f>
        <v/>
      </c>
      <c r="G224" s="29">
        <f>SUMIF('Kachelofen'!$A:$A,$B224,'Kachelofen'!$F:$F)</f>
        <v/>
      </c>
      <c r="H224" s="29">
        <f>SUMIF('Gugelhupf'!$A:$A,$B224,'Gugelhupf'!$F:$F)</f>
        <v/>
      </c>
      <c r="I224" s="29">
        <f>SUMIF('Lucia'!$A:$A,$B224,'Lucia'!$F:$F)</f>
        <v/>
      </c>
      <c r="J224" s="29">
        <f>SUMIF('Bar'!$A:$A,$B224,'Bar'!$F:$F)</f>
        <v/>
      </c>
      <c r="K224" s="30">
        <f>SUM(E224:J224)</f>
        <v/>
      </c>
    </row>
    <row r="225">
      <c r="A225" s="12">
        <f>IF(Artikelstamm!$A225="","",Artikelstamm!$A225)</f>
        <v/>
      </c>
      <c r="B225" s="14">
        <f>IF(Artikelstamm!$B225="","",Artikelstamm!$B225)</f>
        <v/>
      </c>
      <c r="C225" s="14">
        <f>IF(Artikelstamm!$C225="","",Artikelstamm!$C225)</f>
        <v/>
      </c>
      <c r="D225" s="12">
        <f>IF(Artikelstamm!$E225="","",Artikelstamm!$E225)</f>
        <v/>
      </c>
      <c r="E225" s="27">
        <f>SUMIF('Hauptmagazin'!$A:$A,$B225,'Hauptmagazin'!$F:$F)</f>
        <v/>
      </c>
      <c r="F225" s="27">
        <f>SUMIF('Panorama'!$A:$A,$B225,'Panorama'!$F:$F)</f>
        <v/>
      </c>
      <c r="G225" s="27">
        <f>SUMIF('Kachelofen'!$A:$A,$B225,'Kachelofen'!$F:$F)</f>
        <v/>
      </c>
      <c r="H225" s="27">
        <f>SUMIF('Gugelhupf'!$A:$A,$B225,'Gugelhupf'!$F:$F)</f>
        <v/>
      </c>
      <c r="I225" s="27">
        <f>SUMIF('Lucia'!$A:$A,$B225,'Lucia'!$F:$F)</f>
        <v/>
      </c>
      <c r="J225" s="27">
        <f>SUMIF('Bar'!$A:$A,$B225,'Bar'!$F:$F)</f>
        <v/>
      </c>
      <c r="K225" s="28">
        <f>SUM(E225:J225)</f>
        <v/>
      </c>
    </row>
    <row r="226">
      <c r="A226" s="15">
        <f>IF(Artikelstamm!$A226="","",Artikelstamm!$A226)</f>
        <v/>
      </c>
      <c r="B226" s="17">
        <f>IF(Artikelstamm!$B226="","",Artikelstamm!$B226)</f>
        <v/>
      </c>
      <c r="C226" s="17">
        <f>IF(Artikelstamm!$C226="","",Artikelstamm!$C226)</f>
        <v/>
      </c>
      <c r="D226" s="15">
        <f>IF(Artikelstamm!$E226="","",Artikelstamm!$E226)</f>
        <v/>
      </c>
      <c r="E226" s="29">
        <f>SUMIF('Hauptmagazin'!$A:$A,$B226,'Hauptmagazin'!$F:$F)</f>
        <v/>
      </c>
      <c r="F226" s="29">
        <f>SUMIF('Panorama'!$A:$A,$B226,'Panorama'!$F:$F)</f>
        <v/>
      </c>
      <c r="G226" s="29">
        <f>SUMIF('Kachelofen'!$A:$A,$B226,'Kachelofen'!$F:$F)</f>
        <v/>
      </c>
      <c r="H226" s="29">
        <f>SUMIF('Gugelhupf'!$A:$A,$B226,'Gugelhupf'!$F:$F)</f>
        <v/>
      </c>
      <c r="I226" s="29">
        <f>SUMIF('Lucia'!$A:$A,$B226,'Lucia'!$F:$F)</f>
        <v/>
      </c>
      <c r="J226" s="29">
        <f>SUMIF('Bar'!$A:$A,$B226,'Bar'!$F:$F)</f>
        <v/>
      </c>
      <c r="K226" s="30">
        <f>SUM(E226:J226)</f>
        <v/>
      </c>
    </row>
    <row r="227">
      <c r="A227" s="12">
        <f>IF(Artikelstamm!$A227="","",Artikelstamm!$A227)</f>
        <v/>
      </c>
      <c r="B227" s="14">
        <f>IF(Artikelstamm!$B227="","",Artikelstamm!$B227)</f>
        <v/>
      </c>
      <c r="C227" s="14">
        <f>IF(Artikelstamm!$C227="","",Artikelstamm!$C227)</f>
        <v/>
      </c>
      <c r="D227" s="12">
        <f>IF(Artikelstamm!$E227="","",Artikelstamm!$E227)</f>
        <v/>
      </c>
      <c r="E227" s="27">
        <f>SUMIF('Hauptmagazin'!$A:$A,$B227,'Hauptmagazin'!$F:$F)</f>
        <v/>
      </c>
      <c r="F227" s="27">
        <f>SUMIF('Panorama'!$A:$A,$B227,'Panorama'!$F:$F)</f>
        <v/>
      </c>
      <c r="G227" s="27">
        <f>SUMIF('Kachelofen'!$A:$A,$B227,'Kachelofen'!$F:$F)</f>
        <v/>
      </c>
      <c r="H227" s="27">
        <f>SUMIF('Gugelhupf'!$A:$A,$B227,'Gugelhupf'!$F:$F)</f>
        <v/>
      </c>
      <c r="I227" s="27">
        <f>SUMIF('Lucia'!$A:$A,$B227,'Lucia'!$F:$F)</f>
        <v/>
      </c>
      <c r="J227" s="27">
        <f>SUMIF('Bar'!$A:$A,$B227,'Bar'!$F:$F)</f>
        <v/>
      </c>
      <c r="K227" s="28">
        <f>SUM(E227:J227)</f>
        <v/>
      </c>
    </row>
    <row r="228">
      <c r="A228" s="15">
        <f>IF(Artikelstamm!$A228="","",Artikelstamm!$A228)</f>
        <v/>
      </c>
      <c r="B228" s="17">
        <f>IF(Artikelstamm!$B228="","",Artikelstamm!$B228)</f>
        <v/>
      </c>
      <c r="C228" s="17">
        <f>IF(Artikelstamm!$C228="","",Artikelstamm!$C228)</f>
        <v/>
      </c>
      <c r="D228" s="15">
        <f>IF(Artikelstamm!$E228="","",Artikelstamm!$E228)</f>
        <v/>
      </c>
      <c r="E228" s="29">
        <f>SUMIF('Hauptmagazin'!$A:$A,$B228,'Hauptmagazin'!$F:$F)</f>
        <v/>
      </c>
      <c r="F228" s="29">
        <f>SUMIF('Panorama'!$A:$A,$B228,'Panorama'!$F:$F)</f>
        <v/>
      </c>
      <c r="G228" s="29">
        <f>SUMIF('Kachelofen'!$A:$A,$B228,'Kachelofen'!$F:$F)</f>
        <v/>
      </c>
      <c r="H228" s="29">
        <f>SUMIF('Gugelhupf'!$A:$A,$B228,'Gugelhupf'!$F:$F)</f>
        <v/>
      </c>
      <c r="I228" s="29">
        <f>SUMIF('Lucia'!$A:$A,$B228,'Lucia'!$F:$F)</f>
        <v/>
      </c>
      <c r="J228" s="29">
        <f>SUMIF('Bar'!$A:$A,$B228,'Bar'!$F:$F)</f>
        <v/>
      </c>
      <c r="K228" s="30">
        <f>SUM(E228:J228)</f>
        <v/>
      </c>
    </row>
    <row r="229">
      <c r="A229" s="12">
        <f>IF(Artikelstamm!$A229="","",Artikelstamm!$A229)</f>
        <v/>
      </c>
      <c r="B229" s="14">
        <f>IF(Artikelstamm!$B229="","",Artikelstamm!$B229)</f>
        <v/>
      </c>
      <c r="C229" s="14">
        <f>IF(Artikelstamm!$C229="","",Artikelstamm!$C229)</f>
        <v/>
      </c>
      <c r="D229" s="12">
        <f>IF(Artikelstamm!$E229="","",Artikelstamm!$E229)</f>
        <v/>
      </c>
      <c r="E229" s="27">
        <f>SUMIF('Hauptmagazin'!$A:$A,$B229,'Hauptmagazin'!$F:$F)</f>
        <v/>
      </c>
      <c r="F229" s="27">
        <f>SUMIF('Panorama'!$A:$A,$B229,'Panorama'!$F:$F)</f>
        <v/>
      </c>
      <c r="G229" s="27">
        <f>SUMIF('Kachelofen'!$A:$A,$B229,'Kachelofen'!$F:$F)</f>
        <v/>
      </c>
      <c r="H229" s="27">
        <f>SUMIF('Gugelhupf'!$A:$A,$B229,'Gugelhupf'!$F:$F)</f>
        <v/>
      </c>
      <c r="I229" s="27">
        <f>SUMIF('Lucia'!$A:$A,$B229,'Lucia'!$F:$F)</f>
        <v/>
      </c>
      <c r="J229" s="27">
        <f>SUMIF('Bar'!$A:$A,$B229,'Bar'!$F:$F)</f>
        <v/>
      </c>
      <c r="K229" s="28">
        <f>SUM(E229:J229)</f>
        <v/>
      </c>
    </row>
    <row r="230">
      <c r="A230" s="15">
        <f>IF(Artikelstamm!$A230="","",Artikelstamm!$A230)</f>
        <v/>
      </c>
      <c r="B230" s="17">
        <f>IF(Artikelstamm!$B230="","",Artikelstamm!$B230)</f>
        <v/>
      </c>
      <c r="C230" s="17">
        <f>IF(Artikelstamm!$C230="","",Artikelstamm!$C230)</f>
        <v/>
      </c>
      <c r="D230" s="15">
        <f>IF(Artikelstamm!$E230="","",Artikelstamm!$E230)</f>
        <v/>
      </c>
      <c r="E230" s="29">
        <f>SUMIF('Hauptmagazin'!$A:$A,$B230,'Hauptmagazin'!$F:$F)</f>
        <v/>
      </c>
      <c r="F230" s="29">
        <f>SUMIF('Panorama'!$A:$A,$B230,'Panorama'!$F:$F)</f>
        <v/>
      </c>
      <c r="G230" s="29">
        <f>SUMIF('Kachelofen'!$A:$A,$B230,'Kachelofen'!$F:$F)</f>
        <v/>
      </c>
      <c r="H230" s="29">
        <f>SUMIF('Gugelhupf'!$A:$A,$B230,'Gugelhupf'!$F:$F)</f>
        <v/>
      </c>
      <c r="I230" s="29">
        <f>SUMIF('Lucia'!$A:$A,$B230,'Lucia'!$F:$F)</f>
        <v/>
      </c>
      <c r="J230" s="29">
        <f>SUMIF('Bar'!$A:$A,$B230,'Bar'!$F:$F)</f>
        <v/>
      </c>
      <c r="K230" s="30">
        <f>SUM(E230:J230)</f>
        <v/>
      </c>
    </row>
    <row r="231">
      <c r="A231" s="12">
        <f>IF(Artikelstamm!$A231="","",Artikelstamm!$A231)</f>
        <v/>
      </c>
      <c r="B231" s="14">
        <f>IF(Artikelstamm!$B231="","",Artikelstamm!$B231)</f>
        <v/>
      </c>
      <c r="C231" s="14">
        <f>IF(Artikelstamm!$C231="","",Artikelstamm!$C231)</f>
        <v/>
      </c>
      <c r="D231" s="12">
        <f>IF(Artikelstamm!$E231="","",Artikelstamm!$E231)</f>
        <v/>
      </c>
      <c r="E231" s="27">
        <f>SUMIF('Hauptmagazin'!$A:$A,$B231,'Hauptmagazin'!$F:$F)</f>
        <v/>
      </c>
      <c r="F231" s="27">
        <f>SUMIF('Panorama'!$A:$A,$B231,'Panorama'!$F:$F)</f>
        <v/>
      </c>
      <c r="G231" s="27">
        <f>SUMIF('Kachelofen'!$A:$A,$B231,'Kachelofen'!$F:$F)</f>
        <v/>
      </c>
      <c r="H231" s="27">
        <f>SUMIF('Gugelhupf'!$A:$A,$B231,'Gugelhupf'!$F:$F)</f>
        <v/>
      </c>
      <c r="I231" s="27">
        <f>SUMIF('Lucia'!$A:$A,$B231,'Lucia'!$F:$F)</f>
        <v/>
      </c>
      <c r="J231" s="27">
        <f>SUMIF('Bar'!$A:$A,$B231,'Bar'!$F:$F)</f>
        <v/>
      </c>
      <c r="K231" s="28">
        <f>SUM(E231:J231)</f>
        <v/>
      </c>
    </row>
    <row r="232">
      <c r="A232" s="15">
        <f>IF(Artikelstamm!$A232="","",Artikelstamm!$A232)</f>
        <v/>
      </c>
      <c r="B232" s="17">
        <f>IF(Artikelstamm!$B232="","",Artikelstamm!$B232)</f>
        <v/>
      </c>
      <c r="C232" s="17">
        <f>IF(Artikelstamm!$C232="","",Artikelstamm!$C232)</f>
        <v/>
      </c>
      <c r="D232" s="15">
        <f>IF(Artikelstamm!$E232="","",Artikelstamm!$E232)</f>
        <v/>
      </c>
      <c r="E232" s="29">
        <f>SUMIF('Hauptmagazin'!$A:$A,$B232,'Hauptmagazin'!$F:$F)</f>
        <v/>
      </c>
      <c r="F232" s="29">
        <f>SUMIF('Panorama'!$A:$A,$B232,'Panorama'!$F:$F)</f>
        <v/>
      </c>
      <c r="G232" s="29">
        <f>SUMIF('Kachelofen'!$A:$A,$B232,'Kachelofen'!$F:$F)</f>
        <v/>
      </c>
      <c r="H232" s="29">
        <f>SUMIF('Gugelhupf'!$A:$A,$B232,'Gugelhupf'!$F:$F)</f>
        <v/>
      </c>
      <c r="I232" s="29">
        <f>SUMIF('Lucia'!$A:$A,$B232,'Lucia'!$F:$F)</f>
        <v/>
      </c>
      <c r="J232" s="29">
        <f>SUMIF('Bar'!$A:$A,$B232,'Bar'!$F:$F)</f>
        <v/>
      </c>
      <c r="K232" s="30">
        <f>SUM(E232:J232)</f>
        <v/>
      </c>
    </row>
    <row r="233">
      <c r="A233" s="12">
        <f>IF(Artikelstamm!$A233="","",Artikelstamm!$A233)</f>
        <v/>
      </c>
      <c r="B233" s="14">
        <f>IF(Artikelstamm!$B233="","",Artikelstamm!$B233)</f>
        <v/>
      </c>
      <c r="C233" s="14">
        <f>IF(Artikelstamm!$C233="","",Artikelstamm!$C233)</f>
        <v/>
      </c>
      <c r="D233" s="12">
        <f>IF(Artikelstamm!$E233="","",Artikelstamm!$E233)</f>
        <v/>
      </c>
      <c r="E233" s="27">
        <f>SUMIF('Hauptmagazin'!$A:$A,$B233,'Hauptmagazin'!$F:$F)</f>
        <v/>
      </c>
      <c r="F233" s="27">
        <f>SUMIF('Panorama'!$A:$A,$B233,'Panorama'!$F:$F)</f>
        <v/>
      </c>
      <c r="G233" s="27">
        <f>SUMIF('Kachelofen'!$A:$A,$B233,'Kachelofen'!$F:$F)</f>
        <v/>
      </c>
      <c r="H233" s="27">
        <f>SUMIF('Gugelhupf'!$A:$A,$B233,'Gugelhupf'!$F:$F)</f>
        <v/>
      </c>
      <c r="I233" s="27">
        <f>SUMIF('Lucia'!$A:$A,$B233,'Lucia'!$F:$F)</f>
        <v/>
      </c>
      <c r="J233" s="27">
        <f>SUMIF('Bar'!$A:$A,$B233,'Bar'!$F:$F)</f>
        <v/>
      </c>
      <c r="K233" s="28">
        <f>SUM(E233:J233)</f>
        <v/>
      </c>
    </row>
    <row r="234">
      <c r="A234" s="15">
        <f>IF(Artikelstamm!$A234="","",Artikelstamm!$A234)</f>
        <v/>
      </c>
      <c r="B234" s="17">
        <f>IF(Artikelstamm!$B234="","",Artikelstamm!$B234)</f>
        <v/>
      </c>
      <c r="C234" s="17">
        <f>IF(Artikelstamm!$C234="","",Artikelstamm!$C234)</f>
        <v/>
      </c>
      <c r="D234" s="15">
        <f>IF(Artikelstamm!$E234="","",Artikelstamm!$E234)</f>
        <v/>
      </c>
      <c r="E234" s="29">
        <f>SUMIF('Hauptmagazin'!$A:$A,$B234,'Hauptmagazin'!$F:$F)</f>
        <v/>
      </c>
      <c r="F234" s="29">
        <f>SUMIF('Panorama'!$A:$A,$B234,'Panorama'!$F:$F)</f>
        <v/>
      </c>
      <c r="G234" s="29">
        <f>SUMIF('Kachelofen'!$A:$A,$B234,'Kachelofen'!$F:$F)</f>
        <v/>
      </c>
      <c r="H234" s="29">
        <f>SUMIF('Gugelhupf'!$A:$A,$B234,'Gugelhupf'!$F:$F)</f>
        <v/>
      </c>
      <c r="I234" s="29">
        <f>SUMIF('Lucia'!$A:$A,$B234,'Lucia'!$F:$F)</f>
        <v/>
      </c>
      <c r="J234" s="29">
        <f>SUMIF('Bar'!$A:$A,$B234,'Bar'!$F:$F)</f>
        <v/>
      </c>
      <c r="K234" s="30">
        <f>SUM(E234:J234)</f>
        <v/>
      </c>
    </row>
    <row r="235">
      <c r="A235" s="12">
        <f>IF(Artikelstamm!$A235="","",Artikelstamm!$A235)</f>
        <v/>
      </c>
      <c r="B235" s="14">
        <f>IF(Artikelstamm!$B235="","",Artikelstamm!$B235)</f>
        <v/>
      </c>
      <c r="C235" s="14">
        <f>IF(Artikelstamm!$C235="","",Artikelstamm!$C235)</f>
        <v/>
      </c>
      <c r="D235" s="12">
        <f>IF(Artikelstamm!$E235="","",Artikelstamm!$E235)</f>
        <v/>
      </c>
      <c r="E235" s="27">
        <f>SUMIF('Hauptmagazin'!$A:$A,$B235,'Hauptmagazin'!$F:$F)</f>
        <v/>
      </c>
      <c r="F235" s="27">
        <f>SUMIF('Panorama'!$A:$A,$B235,'Panorama'!$F:$F)</f>
        <v/>
      </c>
      <c r="G235" s="27">
        <f>SUMIF('Kachelofen'!$A:$A,$B235,'Kachelofen'!$F:$F)</f>
        <v/>
      </c>
      <c r="H235" s="27">
        <f>SUMIF('Gugelhupf'!$A:$A,$B235,'Gugelhupf'!$F:$F)</f>
        <v/>
      </c>
      <c r="I235" s="27">
        <f>SUMIF('Lucia'!$A:$A,$B235,'Lucia'!$F:$F)</f>
        <v/>
      </c>
      <c r="J235" s="27">
        <f>SUMIF('Bar'!$A:$A,$B235,'Bar'!$F:$F)</f>
        <v/>
      </c>
      <c r="K235" s="28">
        <f>SUM(E235:J235)</f>
        <v/>
      </c>
    </row>
    <row r="236">
      <c r="A236" s="15">
        <f>IF(Artikelstamm!$A236="","",Artikelstamm!$A236)</f>
        <v/>
      </c>
      <c r="B236" s="17">
        <f>IF(Artikelstamm!$B236="","",Artikelstamm!$B236)</f>
        <v/>
      </c>
      <c r="C236" s="17">
        <f>IF(Artikelstamm!$C236="","",Artikelstamm!$C236)</f>
        <v/>
      </c>
      <c r="D236" s="15">
        <f>IF(Artikelstamm!$E236="","",Artikelstamm!$E236)</f>
        <v/>
      </c>
      <c r="E236" s="29">
        <f>SUMIF('Hauptmagazin'!$A:$A,$B236,'Hauptmagazin'!$F:$F)</f>
        <v/>
      </c>
      <c r="F236" s="29">
        <f>SUMIF('Panorama'!$A:$A,$B236,'Panorama'!$F:$F)</f>
        <v/>
      </c>
      <c r="G236" s="29">
        <f>SUMIF('Kachelofen'!$A:$A,$B236,'Kachelofen'!$F:$F)</f>
        <v/>
      </c>
      <c r="H236" s="29">
        <f>SUMIF('Gugelhupf'!$A:$A,$B236,'Gugelhupf'!$F:$F)</f>
        <v/>
      </c>
      <c r="I236" s="29">
        <f>SUMIF('Lucia'!$A:$A,$B236,'Lucia'!$F:$F)</f>
        <v/>
      </c>
      <c r="J236" s="29">
        <f>SUMIF('Bar'!$A:$A,$B236,'Bar'!$F:$F)</f>
        <v/>
      </c>
      <c r="K236" s="30">
        <f>SUM(E236:J236)</f>
        <v/>
      </c>
    </row>
    <row r="237">
      <c r="A237" s="12">
        <f>IF(Artikelstamm!$A237="","",Artikelstamm!$A237)</f>
        <v/>
      </c>
      <c r="B237" s="14">
        <f>IF(Artikelstamm!$B237="","",Artikelstamm!$B237)</f>
        <v/>
      </c>
      <c r="C237" s="14">
        <f>IF(Artikelstamm!$C237="","",Artikelstamm!$C237)</f>
        <v/>
      </c>
      <c r="D237" s="12">
        <f>IF(Artikelstamm!$E237="","",Artikelstamm!$E237)</f>
        <v/>
      </c>
      <c r="E237" s="27">
        <f>SUMIF('Hauptmagazin'!$A:$A,$B237,'Hauptmagazin'!$F:$F)</f>
        <v/>
      </c>
      <c r="F237" s="27">
        <f>SUMIF('Panorama'!$A:$A,$B237,'Panorama'!$F:$F)</f>
        <v/>
      </c>
      <c r="G237" s="27">
        <f>SUMIF('Kachelofen'!$A:$A,$B237,'Kachelofen'!$F:$F)</f>
        <v/>
      </c>
      <c r="H237" s="27">
        <f>SUMIF('Gugelhupf'!$A:$A,$B237,'Gugelhupf'!$F:$F)</f>
        <v/>
      </c>
      <c r="I237" s="27">
        <f>SUMIF('Lucia'!$A:$A,$B237,'Lucia'!$F:$F)</f>
        <v/>
      </c>
      <c r="J237" s="27">
        <f>SUMIF('Bar'!$A:$A,$B237,'Bar'!$F:$F)</f>
        <v/>
      </c>
      <c r="K237" s="28">
        <f>SUM(E237:J237)</f>
        <v/>
      </c>
    </row>
    <row r="238">
      <c r="A238" s="15">
        <f>IF(Artikelstamm!$A238="","",Artikelstamm!$A238)</f>
        <v/>
      </c>
      <c r="B238" s="17">
        <f>IF(Artikelstamm!$B238="","",Artikelstamm!$B238)</f>
        <v/>
      </c>
      <c r="C238" s="17">
        <f>IF(Artikelstamm!$C238="","",Artikelstamm!$C238)</f>
        <v/>
      </c>
      <c r="D238" s="15">
        <f>IF(Artikelstamm!$E238="","",Artikelstamm!$E238)</f>
        <v/>
      </c>
      <c r="E238" s="29">
        <f>SUMIF('Hauptmagazin'!$A:$A,$B238,'Hauptmagazin'!$F:$F)</f>
        <v/>
      </c>
      <c r="F238" s="29">
        <f>SUMIF('Panorama'!$A:$A,$B238,'Panorama'!$F:$F)</f>
        <v/>
      </c>
      <c r="G238" s="29">
        <f>SUMIF('Kachelofen'!$A:$A,$B238,'Kachelofen'!$F:$F)</f>
        <v/>
      </c>
      <c r="H238" s="29">
        <f>SUMIF('Gugelhupf'!$A:$A,$B238,'Gugelhupf'!$F:$F)</f>
        <v/>
      </c>
      <c r="I238" s="29">
        <f>SUMIF('Lucia'!$A:$A,$B238,'Lucia'!$F:$F)</f>
        <v/>
      </c>
      <c r="J238" s="29">
        <f>SUMIF('Bar'!$A:$A,$B238,'Bar'!$F:$F)</f>
        <v/>
      </c>
      <c r="K238" s="30">
        <f>SUM(E238:J238)</f>
        <v/>
      </c>
    </row>
    <row r="239">
      <c r="A239" s="12">
        <f>IF(Artikelstamm!$A239="","",Artikelstamm!$A239)</f>
        <v/>
      </c>
      <c r="B239" s="14">
        <f>IF(Artikelstamm!$B239="","",Artikelstamm!$B239)</f>
        <v/>
      </c>
      <c r="C239" s="14">
        <f>IF(Artikelstamm!$C239="","",Artikelstamm!$C239)</f>
        <v/>
      </c>
      <c r="D239" s="12">
        <f>IF(Artikelstamm!$E239="","",Artikelstamm!$E239)</f>
        <v/>
      </c>
      <c r="E239" s="27">
        <f>SUMIF('Hauptmagazin'!$A:$A,$B239,'Hauptmagazin'!$F:$F)</f>
        <v/>
      </c>
      <c r="F239" s="27">
        <f>SUMIF('Panorama'!$A:$A,$B239,'Panorama'!$F:$F)</f>
        <v/>
      </c>
      <c r="G239" s="27">
        <f>SUMIF('Kachelofen'!$A:$A,$B239,'Kachelofen'!$F:$F)</f>
        <v/>
      </c>
      <c r="H239" s="27">
        <f>SUMIF('Gugelhupf'!$A:$A,$B239,'Gugelhupf'!$F:$F)</f>
        <v/>
      </c>
      <c r="I239" s="27">
        <f>SUMIF('Lucia'!$A:$A,$B239,'Lucia'!$F:$F)</f>
        <v/>
      </c>
      <c r="J239" s="27">
        <f>SUMIF('Bar'!$A:$A,$B239,'Bar'!$F:$F)</f>
        <v/>
      </c>
      <c r="K239" s="28">
        <f>SUM(E239:J239)</f>
        <v/>
      </c>
    </row>
    <row r="240">
      <c r="A240" s="15">
        <f>IF(Artikelstamm!$A240="","",Artikelstamm!$A240)</f>
        <v/>
      </c>
      <c r="B240" s="17">
        <f>IF(Artikelstamm!$B240="","",Artikelstamm!$B240)</f>
        <v/>
      </c>
      <c r="C240" s="17">
        <f>IF(Artikelstamm!$C240="","",Artikelstamm!$C240)</f>
        <v/>
      </c>
      <c r="D240" s="15">
        <f>IF(Artikelstamm!$E240="","",Artikelstamm!$E240)</f>
        <v/>
      </c>
      <c r="E240" s="29">
        <f>SUMIF('Hauptmagazin'!$A:$A,$B240,'Hauptmagazin'!$F:$F)</f>
        <v/>
      </c>
      <c r="F240" s="29">
        <f>SUMIF('Panorama'!$A:$A,$B240,'Panorama'!$F:$F)</f>
        <v/>
      </c>
      <c r="G240" s="29">
        <f>SUMIF('Kachelofen'!$A:$A,$B240,'Kachelofen'!$F:$F)</f>
        <v/>
      </c>
      <c r="H240" s="29">
        <f>SUMIF('Gugelhupf'!$A:$A,$B240,'Gugelhupf'!$F:$F)</f>
        <v/>
      </c>
      <c r="I240" s="29">
        <f>SUMIF('Lucia'!$A:$A,$B240,'Lucia'!$F:$F)</f>
        <v/>
      </c>
      <c r="J240" s="29">
        <f>SUMIF('Bar'!$A:$A,$B240,'Bar'!$F:$F)</f>
        <v/>
      </c>
      <c r="K240" s="30">
        <f>SUM(E240:J240)</f>
        <v/>
      </c>
    </row>
    <row r="241">
      <c r="A241" s="12">
        <f>IF(Artikelstamm!$A241="","",Artikelstamm!$A241)</f>
        <v/>
      </c>
      <c r="B241" s="14">
        <f>IF(Artikelstamm!$B241="","",Artikelstamm!$B241)</f>
        <v/>
      </c>
      <c r="C241" s="14">
        <f>IF(Artikelstamm!$C241="","",Artikelstamm!$C241)</f>
        <v/>
      </c>
      <c r="D241" s="12">
        <f>IF(Artikelstamm!$E241="","",Artikelstamm!$E241)</f>
        <v/>
      </c>
      <c r="E241" s="27">
        <f>SUMIF('Hauptmagazin'!$A:$A,$B241,'Hauptmagazin'!$F:$F)</f>
        <v/>
      </c>
      <c r="F241" s="27">
        <f>SUMIF('Panorama'!$A:$A,$B241,'Panorama'!$F:$F)</f>
        <v/>
      </c>
      <c r="G241" s="27">
        <f>SUMIF('Kachelofen'!$A:$A,$B241,'Kachelofen'!$F:$F)</f>
        <v/>
      </c>
      <c r="H241" s="27">
        <f>SUMIF('Gugelhupf'!$A:$A,$B241,'Gugelhupf'!$F:$F)</f>
        <v/>
      </c>
      <c r="I241" s="27">
        <f>SUMIF('Lucia'!$A:$A,$B241,'Lucia'!$F:$F)</f>
        <v/>
      </c>
      <c r="J241" s="27">
        <f>SUMIF('Bar'!$A:$A,$B241,'Bar'!$F:$F)</f>
        <v/>
      </c>
      <c r="K241" s="28">
        <f>SUM(E241:J241)</f>
        <v/>
      </c>
    </row>
    <row r="242">
      <c r="A242" s="15">
        <f>IF(Artikelstamm!$A242="","",Artikelstamm!$A242)</f>
        <v/>
      </c>
      <c r="B242" s="17">
        <f>IF(Artikelstamm!$B242="","",Artikelstamm!$B242)</f>
        <v/>
      </c>
      <c r="C242" s="17">
        <f>IF(Artikelstamm!$C242="","",Artikelstamm!$C242)</f>
        <v/>
      </c>
      <c r="D242" s="15">
        <f>IF(Artikelstamm!$E242="","",Artikelstamm!$E242)</f>
        <v/>
      </c>
      <c r="E242" s="29">
        <f>SUMIF('Hauptmagazin'!$A:$A,$B242,'Hauptmagazin'!$F:$F)</f>
        <v/>
      </c>
      <c r="F242" s="29">
        <f>SUMIF('Panorama'!$A:$A,$B242,'Panorama'!$F:$F)</f>
        <v/>
      </c>
      <c r="G242" s="29">
        <f>SUMIF('Kachelofen'!$A:$A,$B242,'Kachelofen'!$F:$F)</f>
        <v/>
      </c>
      <c r="H242" s="29">
        <f>SUMIF('Gugelhupf'!$A:$A,$B242,'Gugelhupf'!$F:$F)</f>
        <v/>
      </c>
      <c r="I242" s="29">
        <f>SUMIF('Lucia'!$A:$A,$B242,'Lucia'!$F:$F)</f>
        <v/>
      </c>
      <c r="J242" s="29">
        <f>SUMIF('Bar'!$A:$A,$B242,'Bar'!$F:$F)</f>
        <v/>
      </c>
      <c r="K242" s="30">
        <f>SUM(E242:J242)</f>
        <v/>
      </c>
    </row>
    <row r="243">
      <c r="A243" s="12">
        <f>IF(Artikelstamm!$A243="","",Artikelstamm!$A243)</f>
        <v/>
      </c>
      <c r="B243" s="14">
        <f>IF(Artikelstamm!$B243="","",Artikelstamm!$B243)</f>
        <v/>
      </c>
      <c r="C243" s="14">
        <f>IF(Artikelstamm!$C243="","",Artikelstamm!$C243)</f>
        <v/>
      </c>
      <c r="D243" s="12">
        <f>IF(Artikelstamm!$E243="","",Artikelstamm!$E243)</f>
        <v/>
      </c>
      <c r="E243" s="27">
        <f>SUMIF('Hauptmagazin'!$A:$A,$B243,'Hauptmagazin'!$F:$F)</f>
        <v/>
      </c>
      <c r="F243" s="27">
        <f>SUMIF('Panorama'!$A:$A,$B243,'Panorama'!$F:$F)</f>
        <v/>
      </c>
      <c r="G243" s="27">
        <f>SUMIF('Kachelofen'!$A:$A,$B243,'Kachelofen'!$F:$F)</f>
        <v/>
      </c>
      <c r="H243" s="27">
        <f>SUMIF('Gugelhupf'!$A:$A,$B243,'Gugelhupf'!$F:$F)</f>
        <v/>
      </c>
      <c r="I243" s="27">
        <f>SUMIF('Lucia'!$A:$A,$B243,'Lucia'!$F:$F)</f>
        <v/>
      </c>
      <c r="J243" s="27">
        <f>SUMIF('Bar'!$A:$A,$B243,'Bar'!$F:$F)</f>
        <v/>
      </c>
      <c r="K243" s="28">
        <f>SUM(E243:J243)</f>
        <v/>
      </c>
    </row>
    <row r="244">
      <c r="A244" s="15">
        <f>IF(Artikelstamm!$A244="","",Artikelstamm!$A244)</f>
        <v/>
      </c>
      <c r="B244" s="17">
        <f>IF(Artikelstamm!$B244="","",Artikelstamm!$B244)</f>
        <v/>
      </c>
      <c r="C244" s="17">
        <f>IF(Artikelstamm!$C244="","",Artikelstamm!$C244)</f>
        <v/>
      </c>
      <c r="D244" s="15">
        <f>IF(Artikelstamm!$E244="","",Artikelstamm!$E244)</f>
        <v/>
      </c>
      <c r="E244" s="29">
        <f>SUMIF('Hauptmagazin'!$A:$A,$B244,'Hauptmagazin'!$F:$F)</f>
        <v/>
      </c>
      <c r="F244" s="29">
        <f>SUMIF('Panorama'!$A:$A,$B244,'Panorama'!$F:$F)</f>
        <v/>
      </c>
      <c r="G244" s="29">
        <f>SUMIF('Kachelofen'!$A:$A,$B244,'Kachelofen'!$F:$F)</f>
        <v/>
      </c>
      <c r="H244" s="29">
        <f>SUMIF('Gugelhupf'!$A:$A,$B244,'Gugelhupf'!$F:$F)</f>
        <v/>
      </c>
      <c r="I244" s="29">
        <f>SUMIF('Lucia'!$A:$A,$B244,'Lucia'!$F:$F)</f>
        <v/>
      </c>
      <c r="J244" s="29">
        <f>SUMIF('Bar'!$A:$A,$B244,'Bar'!$F:$F)</f>
        <v/>
      </c>
      <c r="K244" s="30">
        <f>SUM(E244:J244)</f>
        <v/>
      </c>
    </row>
    <row r="245">
      <c r="A245" s="12">
        <f>IF(Artikelstamm!$A245="","",Artikelstamm!$A245)</f>
        <v/>
      </c>
      <c r="B245" s="14">
        <f>IF(Artikelstamm!$B245="","",Artikelstamm!$B245)</f>
        <v/>
      </c>
      <c r="C245" s="14">
        <f>IF(Artikelstamm!$C245="","",Artikelstamm!$C245)</f>
        <v/>
      </c>
      <c r="D245" s="12">
        <f>IF(Artikelstamm!$E245="","",Artikelstamm!$E245)</f>
        <v/>
      </c>
      <c r="E245" s="27">
        <f>SUMIF('Hauptmagazin'!$A:$A,$B245,'Hauptmagazin'!$F:$F)</f>
        <v/>
      </c>
      <c r="F245" s="27">
        <f>SUMIF('Panorama'!$A:$A,$B245,'Panorama'!$F:$F)</f>
        <v/>
      </c>
      <c r="G245" s="27">
        <f>SUMIF('Kachelofen'!$A:$A,$B245,'Kachelofen'!$F:$F)</f>
        <v/>
      </c>
      <c r="H245" s="27">
        <f>SUMIF('Gugelhupf'!$A:$A,$B245,'Gugelhupf'!$F:$F)</f>
        <v/>
      </c>
      <c r="I245" s="27">
        <f>SUMIF('Lucia'!$A:$A,$B245,'Lucia'!$F:$F)</f>
        <v/>
      </c>
      <c r="J245" s="27">
        <f>SUMIF('Bar'!$A:$A,$B245,'Bar'!$F:$F)</f>
        <v/>
      </c>
      <c r="K245" s="28">
        <f>SUM(E245:J245)</f>
        <v/>
      </c>
    </row>
    <row r="246">
      <c r="A246" s="15">
        <f>IF(Artikelstamm!$A246="","",Artikelstamm!$A246)</f>
        <v/>
      </c>
      <c r="B246" s="17">
        <f>IF(Artikelstamm!$B246="","",Artikelstamm!$B246)</f>
        <v/>
      </c>
      <c r="C246" s="17">
        <f>IF(Artikelstamm!$C246="","",Artikelstamm!$C246)</f>
        <v/>
      </c>
      <c r="D246" s="15">
        <f>IF(Artikelstamm!$E246="","",Artikelstamm!$E246)</f>
        <v/>
      </c>
      <c r="E246" s="29">
        <f>SUMIF('Hauptmagazin'!$A:$A,$B246,'Hauptmagazin'!$F:$F)</f>
        <v/>
      </c>
      <c r="F246" s="29">
        <f>SUMIF('Panorama'!$A:$A,$B246,'Panorama'!$F:$F)</f>
        <v/>
      </c>
      <c r="G246" s="29">
        <f>SUMIF('Kachelofen'!$A:$A,$B246,'Kachelofen'!$F:$F)</f>
        <v/>
      </c>
      <c r="H246" s="29">
        <f>SUMIF('Gugelhupf'!$A:$A,$B246,'Gugelhupf'!$F:$F)</f>
        <v/>
      </c>
      <c r="I246" s="29">
        <f>SUMIF('Lucia'!$A:$A,$B246,'Lucia'!$F:$F)</f>
        <v/>
      </c>
      <c r="J246" s="29">
        <f>SUMIF('Bar'!$A:$A,$B246,'Bar'!$F:$F)</f>
        <v/>
      </c>
      <c r="K246" s="30">
        <f>SUM(E246:J246)</f>
        <v/>
      </c>
    </row>
    <row r="247">
      <c r="A247" s="12">
        <f>IF(Artikelstamm!$A247="","",Artikelstamm!$A247)</f>
        <v/>
      </c>
      <c r="B247" s="14">
        <f>IF(Artikelstamm!$B247="","",Artikelstamm!$B247)</f>
        <v/>
      </c>
      <c r="C247" s="14">
        <f>IF(Artikelstamm!$C247="","",Artikelstamm!$C247)</f>
        <v/>
      </c>
      <c r="D247" s="12">
        <f>IF(Artikelstamm!$E247="","",Artikelstamm!$E247)</f>
        <v/>
      </c>
      <c r="E247" s="27">
        <f>SUMIF('Hauptmagazin'!$A:$A,$B247,'Hauptmagazin'!$F:$F)</f>
        <v/>
      </c>
      <c r="F247" s="27">
        <f>SUMIF('Panorama'!$A:$A,$B247,'Panorama'!$F:$F)</f>
        <v/>
      </c>
      <c r="G247" s="27">
        <f>SUMIF('Kachelofen'!$A:$A,$B247,'Kachelofen'!$F:$F)</f>
        <v/>
      </c>
      <c r="H247" s="27">
        <f>SUMIF('Gugelhupf'!$A:$A,$B247,'Gugelhupf'!$F:$F)</f>
        <v/>
      </c>
      <c r="I247" s="27">
        <f>SUMIF('Lucia'!$A:$A,$B247,'Lucia'!$F:$F)</f>
        <v/>
      </c>
      <c r="J247" s="27">
        <f>SUMIF('Bar'!$A:$A,$B247,'Bar'!$F:$F)</f>
        <v/>
      </c>
      <c r="K247" s="28">
        <f>SUM(E247:J247)</f>
        <v/>
      </c>
    </row>
    <row r="248">
      <c r="A248" s="15">
        <f>IF(Artikelstamm!$A248="","",Artikelstamm!$A248)</f>
        <v/>
      </c>
      <c r="B248" s="17">
        <f>IF(Artikelstamm!$B248="","",Artikelstamm!$B248)</f>
        <v/>
      </c>
      <c r="C248" s="17">
        <f>IF(Artikelstamm!$C248="","",Artikelstamm!$C248)</f>
        <v/>
      </c>
      <c r="D248" s="15">
        <f>IF(Artikelstamm!$E248="","",Artikelstamm!$E248)</f>
        <v/>
      </c>
      <c r="E248" s="29">
        <f>SUMIF('Hauptmagazin'!$A:$A,$B248,'Hauptmagazin'!$F:$F)</f>
        <v/>
      </c>
      <c r="F248" s="29">
        <f>SUMIF('Panorama'!$A:$A,$B248,'Panorama'!$F:$F)</f>
        <v/>
      </c>
      <c r="G248" s="29">
        <f>SUMIF('Kachelofen'!$A:$A,$B248,'Kachelofen'!$F:$F)</f>
        <v/>
      </c>
      <c r="H248" s="29">
        <f>SUMIF('Gugelhupf'!$A:$A,$B248,'Gugelhupf'!$F:$F)</f>
        <v/>
      </c>
      <c r="I248" s="29">
        <f>SUMIF('Lucia'!$A:$A,$B248,'Lucia'!$F:$F)</f>
        <v/>
      </c>
      <c r="J248" s="29">
        <f>SUMIF('Bar'!$A:$A,$B248,'Bar'!$F:$F)</f>
        <v/>
      </c>
      <c r="K248" s="30">
        <f>SUM(E248:J248)</f>
        <v/>
      </c>
    </row>
    <row r="249">
      <c r="A249" s="12">
        <f>IF(Artikelstamm!$A249="","",Artikelstamm!$A249)</f>
        <v/>
      </c>
      <c r="B249" s="14">
        <f>IF(Artikelstamm!$B249="","",Artikelstamm!$B249)</f>
        <v/>
      </c>
      <c r="C249" s="14">
        <f>IF(Artikelstamm!$C249="","",Artikelstamm!$C249)</f>
        <v/>
      </c>
      <c r="D249" s="12">
        <f>IF(Artikelstamm!$E249="","",Artikelstamm!$E249)</f>
        <v/>
      </c>
      <c r="E249" s="27">
        <f>SUMIF('Hauptmagazin'!$A:$A,$B249,'Hauptmagazin'!$F:$F)</f>
        <v/>
      </c>
      <c r="F249" s="27">
        <f>SUMIF('Panorama'!$A:$A,$B249,'Panorama'!$F:$F)</f>
        <v/>
      </c>
      <c r="G249" s="27">
        <f>SUMIF('Kachelofen'!$A:$A,$B249,'Kachelofen'!$F:$F)</f>
        <v/>
      </c>
      <c r="H249" s="27">
        <f>SUMIF('Gugelhupf'!$A:$A,$B249,'Gugelhupf'!$F:$F)</f>
        <v/>
      </c>
      <c r="I249" s="27">
        <f>SUMIF('Lucia'!$A:$A,$B249,'Lucia'!$F:$F)</f>
        <v/>
      </c>
      <c r="J249" s="27">
        <f>SUMIF('Bar'!$A:$A,$B249,'Bar'!$F:$F)</f>
        <v/>
      </c>
      <c r="K249" s="28">
        <f>SUM(E249:J249)</f>
        <v/>
      </c>
    </row>
    <row r="250">
      <c r="A250" s="15">
        <f>IF(Artikelstamm!$A250="","",Artikelstamm!$A250)</f>
        <v/>
      </c>
      <c r="B250" s="17">
        <f>IF(Artikelstamm!$B250="","",Artikelstamm!$B250)</f>
        <v/>
      </c>
      <c r="C250" s="17">
        <f>IF(Artikelstamm!$C250="","",Artikelstamm!$C250)</f>
        <v/>
      </c>
      <c r="D250" s="15">
        <f>IF(Artikelstamm!$E250="","",Artikelstamm!$E250)</f>
        <v/>
      </c>
      <c r="E250" s="29">
        <f>SUMIF('Hauptmagazin'!$A:$A,$B250,'Hauptmagazin'!$F:$F)</f>
        <v/>
      </c>
      <c r="F250" s="29">
        <f>SUMIF('Panorama'!$A:$A,$B250,'Panorama'!$F:$F)</f>
        <v/>
      </c>
      <c r="G250" s="29">
        <f>SUMIF('Kachelofen'!$A:$A,$B250,'Kachelofen'!$F:$F)</f>
        <v/>
      </c>
      <c r="H250" s="29">
        <f>SUMIF('Gugelhupf'!$A:$A,$B250,'Gugelhupf'!$F:$F)</f>
        <v/>
      </c>
      <c r="I250" s="29">
        <f>SUMIF('Lucia'!$A:$A,$B250,'Lucia'!$F:$F)</f>
        <v/>
      </c>
      <c r="J250" s="29">
        <f>SUMIF('Bar'!$A:$A,$B250,'Bar'!$F:$F)</f>
        <v/>
      </c>
      <c r="K250" s="30">
        <f>SUM(E250:J250)</f>
        <v/>
      </c>
    </row>
    <row r="251">
      <c r="A251" s="12">
        <f>IF(Artikelstamm!$A251="","",Artikelstamm!$A251)</f>
        <v/>
      </c>
      <c r="B251" s="14">
        <f>IF(Artikelstamm!$B251="","",Artikelstamm!$B251)</f>
        <v/>
      </c>
      <c r="C251" s="14">
        <f>IF(Artikelstamm!$C251="","",Artikelstamm!$C251)</f>
        <v/>
      </c>
      <c r="D251" s="12">
        <f>IF(Artikelstamm!$E251="","",Artikelstamm!$E251)</f>
        <v/>
      </c>
      <c r="E251" s="27">
        <f>SUMIF('Hauptmagazin'!$A:$A,$B251,'Hauptmagazin'!$F:$F)</f>
        <v/>
      </c>
      <c r="F251" s="27">
        <f>SUMIF('Panorama'!$A:$A,$B251,'Panorama'!$F:$F)</f>
        <v/>
      </c>
      <c r="G251" s="27">
        <f>SUMIF('Kachelofen'!$A:$A,$B251,'Kachelofen'!$F:$F)</f>
        <v/>
      </c>
      <c r="H251" s="27">
        <f>SUMIF('Gugelhupf'!$A:$A,$B251,'Gugelhupf'!$F:$F)</f>
        <v/>
      </c>
      <c r="I251" s="27">
        <f>SUMIF('Lucia'!$A:$A,$B251,'Lucia'!$F:$F)</f>
        <v/>
      </c>
      <c r="J251" s="27">
        <f>SUMIF('Bar'!$A:$A,$B251,'Bar'!$F:$F)</f>
        <v/>
      </c>
      <c r="K251" s="28">
        <f>SUM(E251:J251)</f>
        <v/>
      </c>
    </row>
    <row r="252">
      <c r="A252" s="15">
        <f>IF(Artikelstamm!$A252="","",Artikelstamm!$A252)</f>
        <v/>
      </c>
      <c r="B252" s="17">
        <f>IF(Artikelstamm!$B252="","",Artikelstamm!$B252)</f>
        <v/>
      </c>
      <c r="C252" s="17">
        <f>IF(Artikelstamm!$C252="","",Artikelstamm!$C252)</f>
        <v/>
      </c>
      <c r="D252" s="15">
        <f>IF(Artikelstamm!$E252="","",Artikelstamm!$E252)</f>
        <v/>
      </c>
      <c r="E252" s="29">
        <f>SUMIF('Hauptmagazin'!$A:$A,$B252,'Hauptmagazin'!$F:$F)</f>
        <v/>
      </c>
      <c r="F252" s="29">
        <f>SUMIF('Panorama'!$A:$A,$B252,'Panorama'!$F:$F)</f>
        <v/>
      </c>
      <c r="G252" s="29">
        <f>SUMIF('Kachelofen'!$A:$A,$B252,'Kachelofen'!$F:$F)</f>
        <v/>
      </c>
      <c r="H252" s="29">
        <f>SUMIF('Gugelhupf'!$A:$A,$B252,'Gugelhupf'!$F:$F)</f>
        <v/>
      </c>
      <c r="I252" s="29">
        <f>SUMIF('Lucia'!$A:$A,$B252,'Lucia'!$F:$F)</f>
        <v/>
      </c>
      <c r="J252" s="29">
        <f>SUMIF('Bar'!$A:$A,$B252,'Bar'!$F:$F)</f>
        <v/>
      </c>
      <c r="K252" s="30">
        <f>SUM(E252:J252)</f>
        <v/>
      </c>
    </row>
    <row r="253">
      <c r="A253" s="12">
        <f>IF(Artikelstamm!$A253="","",Artikelstamm!$A253)</f>
        <v/>
      </c>
      <c r="B253" s="14">
        <f>IF(Artikelstamm!$B253="","",Artikelstamm!$B253)</f>
        <v/>
      </c>
      <c r="C253" s="14">
        <f>IF(Artikelstamm!$C253="","",Artikelstamm!$C253)</f>
        <v/>
      </c>
      <c r="D253" s="12">
        <f>IF(Artikelstamm!$E253="","",Artikelstamm!$E253)</f>
        <v/>
      </c>
      <c r="E253" s="27">
        <f>SUMIF('Hauptmagazin'!$A:$A,$B253,'Hauptmagazin'!$F:$F)</f>
        <v/>
      </c>
      <c r="F253" s="27">
        <f>SUMIF('Panorama'!$A:$A,$B253,'Panorama'!$F:$F)</f>
        <v/>
      </c>
      <c r="G253" s="27">
        <f>SUMIF('Kachelofen'!$A:$A,$B253,'Kachelofen'!$F:$F)</f>
        <v/>
      </c>
      <c r="H253" s="27">
        <f>SUMIF('Gugelhupf'!$A:$A,$B253,'Gugelhupf'!$F:$F)</f>
        <v/>
      </c>
      <c r="I253" s="27">
        <f>SUMIF('Lucia'!$A:$A,$B253,'Lucia'!$F:$F)</f>
        <v/>
      </c>
      <c r="J253" s="27">
        <f>SUMIF('Bar'!$A:$A,$B253,'Bar'!$F:$F)</f>
        <v/>
      </c>
      <c r="K253" s="28">
        <f>SUM(E253:J253)</f>
        <v/>
      </c>
    </row>
    <row r="254">
      <c r="A254" s="15">
        <f>IF(Artikelstamm!$A254="","",Artikelstamm!$A254)</f>
        <v/>
      </c>
      <c r="B254" s="17">
        <f>IF(Artikelstamm!$B254="","",Artikelstamm!$B254)</f>
        <v/>
      </c>
      <c r="C254" s="17">
        <f>IF(Artikelstamm!$C254="","",Artikelstamm!$C254)</f>
        <v/>
      </c>
      <c r="D254" s="15">
        <f>IF(Artikelstamm!$E254="","",Artikelstamm!$E254)</f>
        <v/>
      </c>
      <c r="E254" s="29">
        <f>SUMIF('Hauptmagazin'!$A:$A,$B254,'Hauptmagazin'!$F:$F)</f>
        <v/>
      </c>
      <c r="F254" s="29">
        <f>SUMIF('Panorama'!$A:$A,$B254,'Panorama'!$F:$F)</f>
        <v/>
      </c>
      <c r="G254" s="29">
        <f>SUMIF('Kachelofen'!$A:$A,$B254,'Kachelofen'!$F:$F)</f>
        <v/>
      </c>
      <c r="H254" s="29">
        <f>SUMIF('Gugelhupf'!$A:$A,$B254,'Gugelhupf'!$F:$F)</f>
        <v/>
      </c>
      <c r="I254" s="29">
        <f>SUMIF('Lucia'!$A:$A,$B254,'Lucia'!$F:$F)</f>
        <v/>
      </c>
      <c r="J254" s="29">
        <f>SUMIF('Bar'!$A:$A,$B254,'Bar'!$F:$F)</f>
        <v/>
      </c>
      <c r="K254" s="30">
        <f>SUM(E254:J254)</f>
        <v/>
      </c>
    </row>
    <row r="255">
      <c r="A255" s="12">
        <f>IF(Artikelstamm!$A255="","",Artikelstamm!$A255)</f>
        <v/>
      </c>
      <c r="B255" s="14">
        <f>IF(Artikelstamm!$B255="","",Artikelstamm!$B255)</f>
        <v/>
      </c>
      <c r="C255" s="14">
        <f>IF(Artikelstamm!$C255="","",Artikelstamm!$C255)</f>
        <v/>
      </c>
      <c r="D255" s="12">
        <f>IF(Artikelstamm!$E255="","",Artikelstamm!$E255)</f>
        <v/>
      </c>
      <c r="E255" s="27">
        <f>SUMIF('Hauptmagazin'!$A:$A,$B255,'Hauptmagazin'!$F:$F)</f>
        <v/>
      </c>
      <c r="F255" s="27">
        <f>SUMIF('Panorama'!$A:$A,$B255,'Panorama'!$F:$F)</f>
        <v/>
      </c>
      <c r="G255" s="27">
        <f>SUMIF('Kachelofen'!$A:$A,$B255,'Kachelofen'!$F:$F)</f>
        <v/>
      </c>
      <c r="H255" s="27">
        <f>SUMIF('Gugelhupf'!$A:$A,$B255,'Gugelhupf'!$F:$F)</f>
        <v/>
      </c>
      <c r="I255" s="27">
        <f>SUMIF('Lucia'!$A:$A,$B255,'Lucia'!$F:$F)</f>
        <v/>
      </c>
      <c r="J255" s="27">
        <f>SUMIF('Bar'!$A:$A,$B255,'Bar'!$F:$F)</f>
        <v/>
      </c>
      <c r="K255" s="28">
        <f>SUM(E255:J255)</f>
        <v/>
      </c>
    </row>
    <row r="256">
      <c r="A256" s="15">
        <f>IF(Artikelstamm!$A256="","",Artikelstamm!$A256)</f>
        <v/>
      </c>
      <c r="B256" s="17">
        <f>IF(Artikelstamm!$B256="","",Artikelstamm!$B256)</f>
        <v/>
      </c>
      <c r="C256" s="17">
        <f>IF(Artikelstamm!$C256="","",Artikelstamm!$C256)</f>
        <v/>
      </c>
      <c r="D256" s="15">
        <f>IF(Artikelstamm!$E256="","",Artikelstamm!$E256)</f>
        <v/>
      </c>
      <c r="E256" s="29">
        <f>SUMIF('Hauptmagazin'!$A:$A,$B256,'Hauptmagazin'!$F:$F)</f>
        <v/>
      </c>
      <c r="F256" s="29">
        <f>SUMIF('Panorama'!$A:$A,$B256,'Panorama'!$F:$F)</f>
        <v/>
      </c>
      <c r="G256" s="29">
        <f>SUMIF('Kachelofen'!$A:$A,$B256,'Kachelofen'!$F:$F)</f>
        <v/>
      </c>
      <c r="H256" s="29">
        <f>SUMIF('Gugelhupf'!$A:$A,$B256,'Gugelhupf'!$F:$F)</f>
        <v/>
      </c>
      <c r="I256" s="29">
        <f>SUMIF('Lucia'!$A:$A,$B256,'Lucia'!$F:$F)</f>
        <v/>
      </c>
      <c r="J256" s="29">
        <f>SUMIF('Bar'!$A:$A,$B256,'Bar'!$F:$F)</f>
        <v/>
      </c>
      <c r="K256" s="30">
        <f>SUM(E256:J256)</f>
        <v/>
      </c>
    </row>
    <row r="257">
      <c r="A257" s="12">
        <f>IF(Artikelstamm!$A257="","",Artikelstamm!$A257)</f>
        <v/>
      </c>
      <c r="B257" s="14">
        <f>IF(Artikelstamm!$B257="","",Artikelstamm!$B257)</f>
        <v/>
      </c>
      <c r="C257" s="14">
        <f>IF(Artikelstamm!$C257="","",Artikelstamm!$C257)</f>
        <v/>
      </c>
      <c r="D257" s="12">
        <f>IF(Artikelstamm!$E257="","",Artikelstamm!$E257)</f>
        <v/>
      </c>
      <c r="E257" s="27">
        <f>SUMIF('Hauptmagazin'!$A:$A,$B257,'Hauptmagazin'!$F:$F)</f>
        <v/>
      </c>
      <c r="F257" s="27">
        <f>SUMIF('Panorama'!$A:$A,$B257,'Panorama'!$F:$F)</f>
        <v/>
      </c>
      <c r="G257" s="27">
        <f>SUMIF('Kachelofen'!$A:$A,$B257,'Kachelofen'!$F:$F)</f>
        <v/>
      </c>
      <c r="H257" s="27">
        <f>SUMIF('Gugelhupf'!$A:$A,$B257,'Gugelhupf'!$F:$F)</f>
        <v/>
      </c>
      <c r="I257" s="27">
        <f>SUMIF('Lucia'!$A:$A,$B257,'Lucia'!$F:$F)</f>
        <v/>
      </c>
      <c r="J257" s="27">
        <f>SUMIF('Bar'!$A:$A,$B257,'Bar'!$F:$F)</f>
        <v/>
      </c>
      <c r="K257" s="28">
        <f>SUM(E257:J257)</f>
        <v/>
      </c>
    </row>
    <row r="258">
      <c r="A258" s="15">
        <f>IF(Artikelstamm!$A258="","",Artikelstamm!$A258)</f>
        <v/>
      </c>
      <c r="B258" s="17">
        <f>IF(Artikelstamm!$B258="","",Artikelstamm!$B258)</f>
        <v/>
      </c>
      <c r="C258" s="17">
        <f>IF(Artikelstamm!$C258="","",Artikelstamm!$C258)</f>
        <v/>
      </c>
      <c r="D258" s="15">
        <f>IF(Artikelstamm!$E258="","",Artikelstamm!$E258)</f>
        <v/>
      </c>
      <c r="E258" s="29">
        <f>SUMIF('Hauptmagazin'!$A:$A,$B258,'Hauptmagazin'!$F:$F)</f>
        <v/>
      </c>
      <c r="F258" s="29">
        <f>SUMIF('Panorama'!$A:$A,$B258,'Panorama'!$F:$F)</f>
        <v/>
      </c>
      <c r="G258" s="29">
        <f>SUMIF('Kachelofen'!$A:$A,$B258,'Kachelofen'!$F:$F)</f>
        <v/>
      </c>
      <c r="H258" s="29">
        <f>SUMIF('Gugelhupf'!$A:$A,$B258,'Gugelhupf'!$F:$F)</f>
        <v/>
      </c>
      <c r="I258" s="29">
        <f>SUMIF('Lucia'!$A:$A,$B258,'Lucia'!$F:$F)</f>
        <v/>
      </c>
      <c r="J258" s="29">
        <f>SUMIF('Bar'!$A:$A,$B258,'Bar'!$F:$F)</f>
        <v/>
      </c>
      <c r="K258" s="30">
        <f>SUM(E258:J258)</f>
        <v/>
      </c>
    </row>
    <row r="259">
      <c r="A259" s="12">
        <f>IF(Artikelstamm!$A259="","",Artikelstamm!$A259)</f>
        <v/>
      </c>
      <c r="B259" s="14">
        <f>IF(Artikelstamm!$B259="","",Artikelstamm!$B259)</f>
        <v/>
      </c>
      <c r="C259" s="14">
        <f>IF(Artikelstamm!$C259="","",Artikelstamm!$C259)</f>
        <v/>
      </c>
      <c r="D259" s="12">
        <f>IF(Artikelstamm!$E259="","",Artikelstamm!$E259)</f>
        <v/>
      </c>
      <c r="E259" s="27">
        <f>SUMIF('Hauptmagazin'!$A:$A,$B259,'Hauptmagazin'!$F:$F)</f>
        <v/>
      </c>
      <c r="F259" s="27">
        <f>SUMIF('Panorama'!$A:$A,$B259,'Panorama'!$F:$F)</f>
        <v/>
      </c>
      <c r="G259" s="27">
        <f>SUMIF('Kachelofen'!$A:$A,$B259,'Kachelofen'!$F:$F)</f>
        <v/>
      </c>
      <c r="H259" s="27">
        <f>SUMIF('Gugelhupf'!$A:$A,$B259,'Gugelhupf'!$F:$F)</f>
        <v/>
      </c>
      <c r="I259" s="27">
        <f>SUMIF('Lucia'!$A:$A,$B259,'Lucia'!$F:$F)</f>
        <v/>
      </c>
      <c r="J259" s="27">
        <f>SUMIF('Bar'!$A:$A,$B259,'Bar'!$F:$F)</f>
        <v/>
      </c>
      <c r="K259" s="28">
        <f>SUM(E259:J259)</f>
        <v/>
      </c>
    </row>
    <row r="260">
      <c r="A260" s="15">
        <f>IF(Artikelstamm!$A260="","",Artikelstamm!$A260)</f>
        <v/>
      </c>
      <c r="B260" s="17">
        <f>IF(Artikelstamm!$B260="","",Artikelstamm!$B260)</f>
        <v/>
      </c>
      <c r="C260" s="17">
        <f>IF(Artikelstamm!$C260="","",Artikelstamm!$C260)</f>
        <v/>
      </c>
      <c r="D260" s="15">
        <f>IF(Artikelstamm!$E260="","",Artikelstamm!$E260)</f>
        <v/>
      </c>
      <c r="E260" s="29">
        <f>SUMIF('Hauptmagazin'!$A:$A,$B260,'Hauptmagazin'!$F:$F)</f>
        <v/>
      </c>
      <c r="F260" s="29">
        <f>SUMIF('Panorama'!$A:$A,$B260,'Panorama'!$F:$F)</f>
        <v/>
      </c>
      <c r="G260" s="29">
        <f>SUMIF('Kachelofen'!$A:$A,$B260,'Kachelofen'!$F:$F)</f>
        <v/>
      </c>
      <c r="H260" s="29">
        <f>SUMIF('Gugelhupf'!$A:$A,$B260,'Gugelhupf'!$F:$F)</f>
        <v/>
      </c>
      <c r="I260" s="29">
        <f>SUMIF('Lucia'!$A:$A,$B260,'Lucia'!$F:$F)</f>
        <v/>
      </c>
      <c r="J260" s="29">
        <f>SUMIF('Bar'!$A:$A,$B260,'Bar'!$F:$F)</f>
        <v/>
      </c>
      <c r="K260" s="30">
        <f>SUM(E260:J260)</f>
        <v/>
      </c>
    </row>
    <row r="261">
      <c r="A261" s="12">
        <f>IF(Artikelstamm!$A261="","",Artikelstamm!$A261)</f>
        <v/>
      </c>
      <c r="B261" s="14">
        <f>IF(Artikelstamm!$B261="","",Artikelstamm!$B261)</f>
        <v/>
      </c>
      <c r="C261" s="14">
        <f>IF(Artikelstamm!$C261="","",Artikelstamm!$C261)</f>
        <v/>
      </c>
      <c r="D261" s="12">
        <f>IF(Artikelstamm!$E261="","",Artikelstamm!$E261)</f>
        <v/>
      </c>
      <c r="E261" s="27">
        <f>SUMIF('Hauptmagazin'!$A:$A,$B261,'Hauptmagazin'!$F:$F)</f>
        <v/>
      </c>
      <c r="F261" s="27">
        <f>SUMIF('Panorama'!$A:$A,$B261,'Panorama'!$F:$F)</f>
        <v/>
      </c>
      <c r="G261" s="27">
        <f>SUMIF('Kachelofen'!$A:$A,$B261,'Kachelofen'!$F:$F)</f>
        <v/>
      </c>
      <c r="H261" s="27">
        <f>SUMIF('Gugelhupf'!$A:$A,$B261,'Gugelhupf'!$F:$F)</f>
        <v/>
      </c>
      <c r="I261" s="27">
        <f>SUMIF('Lucia'!$A:$A,$B261,'Lucia'!$F:$F)</f>
        <v/>
      </c>
      <c r="J261" s="27">
        <f>SUMIF('Bar'!$A:$A,$B261,'Bar'!$F:$F)</f>
        <v/>
      </c>
      <c r="K261" s="28">
        <f>SUM(E261:J261)</f>
        <v/>
      </c>
    </row>
    <row r="262">
      <c r="A262" s="15">
        <f>IF(Artikelstamm!$A262="","",Artikelstamm!$A262)</f>
        <v/>
      </c>
      <c r="B262" s="17">
        <f>IF(Artikelstamm!$B262="","",Artikelstamm!$B262)</f>
        <v/>
      </c>
      <c r="C262" s="17">
        <f>IF(Artikelstamm!$C262="","",Artikelstamm!$C262)</f>
        <v/>
      </c>
      <c r="D262" s="15">
        <f>IF(Artikelstamm!$E262="","",Artikelstamm!$E262)</f>
        <v/>
      </c>
      <c r="E262" s="29">
        <f>SUMIF('Hauptmagazin'!$A:$A,$B262,'Hauptmagazin'!$F:$F)</f>
        <v/>
      </c>
      <c r="F262" s="29">
        <f>SUMIF('Panorama'!$A:$A,$B262,'Panorama'!$F:$F)</f>
        <v/>
      </c>
      <c r="G262" s="29">
        <f>SUMIF('Kachelofen'!$A:$A,$B262,'Kachelofen'!$F:$F)</f>
        <v/>
      </c>
      <c r="H262" s="29">
        <f>SUMIF('Gugelhupf'!$A:$A,$B262,'Gugelhupf'!$F:$F)</f>
        <v/>
      </c>
      <c r="I262" s="29">
        <f>SUMIF('Lucia'!$A:$A,$B262,'Lucia'!$F:$F)</f>
        <v/>
      </c>
      <c r="J262" s="29">
        <f>SUMIF('Bar'!$A:$A,$B262,'Bar'!$F:$F)</f>
        <v/>
      </c>
      <c r="K262" s="30">
        <f>SUM(E262:J262)</f>
        <v/>
      </c>
    </row>
    <row r="263">
      <c r="A263" s="12">
        <f>IF(Artikelstamm!$A263="","",Artikelstamm!$A263)</f>
        <v/>
      </c>
      <c r="B263" s="14">
        <f>IF(Artikelstamm!$B263="","",Artikelstamm!$B263)</f>
        <v/>
      </c>
      <c r="C263" s="14">
        <f>IF(Artikelstamm!$C263="","",Artikelstamm!$C263)</f>
        <v/>
      </c>
      <c r="D263" s="12">
        <f>IF(Artikelstamm!$E263="","",Artikelstamm!$E263)</f>
        <v/>
      </c>
      <c r="E263" s="27">
        <f>SUMIF('Hauptmagazin'!$A:$A,$B263,'Hauptmagazin'!$F:$F)</f>
        <v/>
      </c>
      <c r="F263" s="27">
        <f>SUMIF('Panorama'!$A:$A,$B263,'Panorama'!$F:$F)</f>
        <v/>
      </c>
      <c r="G263" s="27">
        <f>SUMIF('Kachelofen'!$A:$A,$B263,'Kachelofen'!$F:$F)</f>
        <v/>
      </c>
      <c r="H263" s="27">
        <f>SUMIF('Gugelhupf'!$A:$A,$B263,'Gugelhupf'!$F:$F)</f>
        <v/>
      </c>
      <c r="I263" s="27">
        <f>SUMIF('Lucia'!$A:$A,$B263,'Lucia'!$F:$F)</f>
        <v/>
      </c>
      <c r="J263" s="27">
        <f>SUMIF('Bar'!$A:$A,$B263,'Bar'!$F:$F)</f>
        <v/>
      </c>
      <c r="K263" s="28">
        <f>SUM(E263:J263)</f>
        <v/>
      </c>
    </row>
    <row r="264">
      <c r="A264" s="15">
        <f>IF(Artikelstamm!$A264="","",Artikelstamm!$A264)</f>
        <v/>
      </c>
      <c r="B264" s="17">
        <f>IF(Artikelstamm!$B264="","",Artikelstamm!$B264)</f>
        <v/>
      </c>
      <c r="C264" s="17">
        <f>IF(Artikelstamm!$C264="","",Artikelstamm!$C264)</f>
        <v/>
      </c>
      <c r="D264" s="15">
        <f>IF(Artikelstamm!$E264="","",Artikelstamm!$E264)</f>
        <v/>
      </c>
      <c r="E264" s="29">
        <f>SUMIF('Hauptmagazin'!$A:$A,$B264,'Hauptmagazin'!$F:$F)</f>
        <v/>
      </c>
      <c r="F264" s="29">
        <f>SUMIF('Panorama'!$A:$A,$B264,'Panorama'!$F:$F)</f>
        <v/>
      </c>
      <c r="G264" s="29">
        <f>SUMIF('Kachelofen'!$A:$A,$B264,'Kachelofen'!$F:$F)</f>
        <v/>
      </c>
      <c r="H264" s="29">
        <f>SUMIF('Gugelhupf'!$A:$A,$B264,'Gugelhupf'!$F:$F)</f>
        <v/>
      </c>
      <c r="I264" s="29">
        <f>SUMIF('Lucia'!$A:$A,$B264,'Lucia'!$F:$F)</f>
        <v/>
      </c>
      <c r="J264" s="29">
        <f>SUMIF('Bar'!$A:$A,$B264,'Bar'!$F:$F)</f>
        <v/>
      </c>
      <c r="K264" s="30">
        <f>SUM(E264:J264)</f>
        <v/>
      </c>
    </row>
    <row r="265">
      <c r="A265" s="12">
        <f>IF(Artikelstamm!$A265="","",Artikelstamm!$A265)</f>
        <v/>
      </c>
      <c r="B265" s="14">
        <f>IF(Artikelstamm!$B265="","",Artikelstamm!$B265)</f>
        <v/>
      </c>
      <c r="C265" s="14">
        <f>IF(Artikelstamm!$C265="","",Artikelstamm!$C265)</f>
        <v/>
      </c>
      <c r="D265" s="12">
        <f>IF(Artikelstamm!$E265="","",Artikelstamm!$E265)</f>
        <v/>
      </c>
      <c r="E265" s="27">
        <f>SUMIF('Hauptmagazin'!$A:$A,$B265,'Hauptmagazin'!$F:$F)</f>
        <v/>
      </c>
      <c r="F265" s="27">
        <f>SUMIF('Panorama'!$A:$A,$B265,'Panorama'!$F:$F)</f>
        <v/>
      </c>
      <c r="G265" s="27">
        <f>SUMIF('Kachelofen'!$A:$A,$B265,'Kachelofen'!$F:$F)</f>
        <v/>
      </c>
      <c r="H265" s="27">
        <f>SUMIF('Gugelhupf'!$A:$A,$B265,'Gugelhupf'!$F:$F)</f>
        <v/>
      </c>
      <c r="I265" s="27">
        <f>SUMIF('Lucia'!$A:$A,$B265,'Lucia'!$F:$F)</f>
        <v/>
      </c>
      <c r="J265" s="27">
        <f>SUMIF('Bar'!$A:$A,$B265,'Bar'!$F:$F)</f>
        <v/>
      </c>
      <c r="K265" s="28">
        <f>SUM(E265:J265)</f>
        <v/>
      </c>
    </row>
    <row r="266">
      <c r="A266" s="15">
        <f>IF(Artikelstamm!$A266="","",Artikelstamm!$A266)</f>
        <v/>
      </c>
      <c r="B266" s="17">
        <f>IF(Artikelstamm!$B266="","",Artikelstamm!$B266)</f>
        <v/>
      </c>
      <c r="C266" s="17">
        <f>IF(Artikelstamm!$C266="","",Artikelstamm!$C266)</f>
        <v/>
      </c>
      <c r="D266" s="15">
        <f>IF(Artikelstamm!$E266="","",Artikelstamm!$E266)</f>
        <v/>
      </c>
      <c r="E266" s="29">
        <f>SUMIF('Hauptmagazin'!$A:$A,$B266,'Hauptmagazin'!$F:$F)</f>
        <v/>
      </c>
      <c r="F266" s="29">
        <f>SUMIF('Panorama'!$A:$A,$B266,'Panorama'!$F:$F)</f>
        <v/>
      </c>
      <c r="G266" s="29">
        <f>SUMIF('Kachelofen'!$A:$A,$B266,'Kachelofen'!$F:$F)</f>
        <v/>
      </c>
      <c r="H266" s="29">
        <f>SUMIF('Gugelhupf'!$A:$A,$B266,'Gugelhupf'!$F:$F)</f>
        <v/>
      </c>
      <c r="I266" s="29">
        <f>SUMIF('Lucia'!$A:$A,$B266,'Lucia'!$F:$F)</f>
        <v/>
      </c>
      <c r="J266" s="29">
        <f>SUMIF('Bar'!$A:$A,$B266,'Bar'!$F:$F)</f>
        <v/>
      </c>
      <c r="K266" s="30">
        <f>SUM(E266:J266)</f>
        <v/>
      </c>
    </row>
    <row r="267">
      <c r="A267" s="12">
        <f>IF(Artikelstamm!$A267="","",Artikelstamm!$A267)</f>
        <v/>
      </c>
      <c r="B267" s="14">
        <f>IF(Artikelstamm!$B267="","",Artikelstamm!$B267)</f>
        <v/>
      </c>
      <c r="C267" s="14">
        <f>IF(Artikelstamm!$C267="","",Artikelstamm!$C267)</f>
        <v/>
      </c>
      <c r="D267" s="12">
        <f>IF(Artikelstamm!$E267="","",Artikelstamm!$E267)</f>
        <v/>
      </c>
      <c r="E267" s="27">
        <f>SUMIF('Hauptmagazin'!$A:$A,$B267,'Hauptmagazin'!$F:$F)</f>
        <v/>
      </c>
      <c r="F267" s="27">
        <f>SUMIF('Panorama'!$A:$A,$B267,'Panorama'!$F:$F)</f>
        <v/>
      </c>
      <c r="G267" s="27">
        <f>SUMIF('Kachelofen'!$A:$A,$B267,'Kachelofen'!$F:$F)</f>
        <v/>
      </c>
      <c r="H267" s="27">
        <f>SUMIF('Gugelhupf'!$A:$A,$B267,'Gugelhupf'!$F:$F)</f>
        <v/>
      </c>
      <c r="I267" s="27">
        <f>SUMIF('Lucia'!$A:$A,$B267,'Lucia'!$F:$F)</f>
        <v/>
      </c>
      <c r="J267" s="27">
        <f>SUMIF('Bar'!$A:$A,$B267,'Bar'!$F:$F)</f>
        <v/>
      </c>
      <c r="K267" s="28">
        <f>SUM(E267:J267)</f>
        <v/>
      </c>
    </row>
    <row r="268">
      <c r="A268" s="15">
        <f>IF(Artikelstamm!$A268="","",Artikelstamm!$A268)</f>
        <v/>
      </c>
      <c r="B268" s="17">
        <f>IF(Artikelstamm!$B268="","",Artikelstamm!$B268)</f>
        <v/>
      </c>
      <c r="C268" s="17">
        <f>IF(Artikelstamm!$C268="","",Artikelstamm!$C268)</f>
        <v/>
      </c>
      <c r="D268" s="15">
        <f>IF(Artikelstamm!$E268="","",Artikelstamm!$E268)</f>
        <v/>
      </c>
      <c r="E268" s="29">
        <f>SUMIF('Hauptmagazin'!$A:$A,$B268,'Hauptmagazin'!$F:$F)</f>
        <v/>
      </c>
      <c r="F268" s="29">
        <f>SUMIF('Panorama'!$A:$A,$B268,'Panorama'!$F:$F)</f>
        <v/>
      </c>
      <c r="G268" s="29">
        <f>SUMIF('Kachelofen'!$A:$A,$B268,'Kachelofen'!$F:$F)</f>
        <v/>
      </c>
      <c r="H268" s="29">
        <f>SUMIF('Gugelhupf'!$A:$A,$B268,'Gugelhupf'!$F:$F)</f>
        <v/>
      </c>
      <c r="I268" s="29">
        <f>SUMIF('Lucia'!$A:$A,$B268,'Lucia'!$F:$F)</f>
        <v/>
      </c>
      <c r="J268" s="29">
        <f>SUMIF('Bar'!$A:$A,$B268,'Bar'!$F:$F)</f>
        <v/>
      </c>
      <c r="K268" s="30">
        <f>SUM(E268:J268)</f>
        <v/>
      </c>
    </row>
    <row r="269">
      <c r="A269" s="12">
        <f>IF(Artikelstamm!$A269="","",Artikelstamm!$A269)</f>
        <v/>
      </c>
      <c r="B269" s="14">
        <f>IF(Artikelstamm!$B269="","",Artikelstamm!$B269)</f>
        <v/>
      </c>
      <c r="C269" s="14">
        <f>IF(Artikelstamm!$C269="","",Artikelstamm!$C269)</f>
        <v/>
      </c>
      <c r="D269" s="12">
        <f>IF(Artikelstamm!$E269="","",Artikelstamm!$E269)</f>
        <v/>
      </c>
      <c r="E269" s="27">
        <f>SUMIF('Hauptmagazin'!$A:$A,$B269,'Hauptmagazin'!$F:$F)</f>
        <v/>
      </c>
      <c r="F269" s="27">
        <f>SUMIF('Panorama'!$A:$A,$B269,'Panorama'!$F:$F)</f>
        <v/>
      </c>
      <c r="G269" s="27">
        <f>SUMIF('Kachelofen'!$A:$A,$B269,'Kachelofen'!$F:$F)</f>
        <v/>
      </c>
      <c r="H269" s="27">
        <f>SUMIF('Gugelhupf'!$A:$A,$B269,'Gugelhupf'!$F:$F)</f>
        <v/>
      </c>
      <c r="I269" s="27">
        <f>SUMIF('Lucia'!$A:$A,$B269,'Lucia'!$F:$F)</f>
        <v/>
      </c>
      <c r="J269" s="27">
        <f>SUMIF('Bar'!$A:$A,$B269,'Bar'!$F:$F)</f>
        <v/>
      </c>
      <c r="K269" s="28">
        <f>SUM(E269:J269)</f>
        <v/>
      </c>
    </row>
    <row r="270">
      <c r="A270" s="15">
        <f>IF(Artikelstamm!$A270="","",Artikelstamm!$A270)</f>
        <v/>
      </c>
      <c r="B270" s="17">
        <f>IF(Artikelstamm!$B270="","",Artikelstamm!$B270)</f>
        <v/>
      </c>
      <c r="C270" s="17">
        <f>IF(Artikelstamm!$C270="","",Artikelstamm!$C270)</f>
        <v/>
      </c>
      <c r="D270" s="15">
        <f>IF(Artikelstamm!$E270="","",Artikelstamm!$E270)</f>
        <v/>
      </c>
      <c r="E270" s="29">
        <f>SUMIF('Hauptmagazin'!$A:$A,$B270,'Hauptmagazin'!$F:$F)</f>
        <v/>
      </c>
      <c r="F270" s="29">
        <f>SUMIF('Panorama'!$A:$A,$B270,'Panorama'!$F:$F)</f>
        <v/>
      </c>
      <c r="G270" s="29">
        <f>SUMIF('Kachelofen'!$A:$A,$B270,'Kachelofen'!$F:$F)</f>
        <v/>
      </c>
      <c r="H270" s="29">
        <f>SUMIF('Gugelhupf'!$A:$A,$B270,'Gugelhupf'!$F:$F)</f>
        <v/>
      </c>
      <c r="I270" s="29">
        <f>SUMIF('Lucia'!$A:$A,$B270,'Lucia'!$F:$F)</f>
        <v/>
      </c>
      <c r="J270" s="29">
        <f>SUMIF('Bar'!$A:$A,$B270,'Bar'!$F:$F)</f>
        <v/>
      </c>
      <c r="K270" s="30">
        <f>SUM(E270:J270)</f>
        <v/>
      </c>
    </row>
    <row r="271">
      <c r="A271" s="12">
        <f>IF(Artikelstamm!$A271="","",Artikelstamm!$A271)</f>
        <v/>
      </c>
      <c r="B271" s="14">
        <f>IF(Artikelstamm!$B271="","",Artikelstamm!$B271)</f>
        <v/>
      </c>
      <c r="C271" s="14">
        <f>IF(Artikelstamm!$C271="","",Artikelstamm!$C271)</f>
        <v/>
      </c>
      <c r="D271" s="12">
        <f>IF(Artikelstamm!$E271="","",Artikelstamm!$E271)</f>
        <v/>
      </c>
      <c r="E271" s="27">
        <f>SUMIF('Hauptmagazin'!$A:$A,$B271,'Hauptmagazin'!$F:$F)</f>
        <v/>
      </c>
      <c r="F271" s="27">
        <f>SUMIF('Panorama'!$A:$A,$B271,'Panorama'!$F:$F)</f>
        <v/>
      </c>
      <c r="G271" s="27">
        <f>SUMIF('Kachelofen'!$A:$A,$B271,'Kachelofen'!$F:$F)</f>
        <v/>
      </c>
      <c r="H271" s="27">
        <f>SUMIF('Gugelhupf'!$A:$A,$B271,'Gugelhupf'!$F:$F)</f>
        <v/>
      </c>
      <c r="I271" s="27">
        <f>SUMIF('Lucia'!$A:$A,$B271,'Lucia'!$F:$F)</f>
        <v/>
      </c>
      <c r="J271" s="27">
        <f>SUMIF('Bar'!$A:$A,$B271,'Bar'!$F:$F)</f>
        <v/>
      </c>
      <c r="K271" s="28">
        <f>SUM(E271:J271)</f>
        <v/>
      </c>
    </row>
    <row r="272">
      <c r="A272" s="15">
        <f>IF(Artikelstamm!$A272="","",Artikelstamm!$A272)</f>
        <v/>
      </c>
      <c r="B272" s="17">
        <f>IF(Artikelstamm!$B272="","",Artikelstamm!$B272)</f>
        <v/>
      </c>
      <c r="C272" s="17">
        <f>IF(Artikelstamm!$C272="","",Artikelstamm!$C272)</f>
        <v/>
      </c>
      <c r="D272" s="15">
        <f>IF(Artikelstamm!$E272="","",Artikelstamm!$E272)</f>
        <v/>
      </c>
      <c r="E272" s="29">
        <f>SUMIF('Hauptmagazin'!$A:$A,$B272,'Hauptmagazin'!$F:$F)</f>
        <v/>
      </c>
      <c r="F272" s="29">
        <f>SUMIF('Panorama'!$A:$A,$B272,'Panorama'!$F:$F)</f>
        <v/>
      </c>
      <c r="G272" s="29">
        <f>SUMIF('Kachelofen'!$A:$A,$B272,'Kachelofen'!$F:$F)</f>
        <v/>
      </c>
      <c r="H272" s="29">
        <f>SUMIF('Gugelhupf'!$A:$A,$B272,'Gugelhupf'!$F:$F)</f>
        <v/>
      </c>
      <c r="I272" s="29">
        <f>SUMIF('Lucia'!$A:$A,$B272,'Lucia'!$F:$F)</f>
        <v/>
      </c>
      <c r="J272" s="29">
        <f>SUMIF('Bar'!$A:$A,$B272,'Bar'!$F:$F)</f>
        <v/>
      </c>
      <c r="K272" s="30">
        <f>SUM(E272:J272)</f>
        <v/>
      </c>
    </row>
    <row r="273">
      <c r="A273" s="12">
        <f>IF(Artikelstamm!$A273="","",Artikelstamm!$A273)</f>
        <v/>
      </c>
      <c r="B273" s="14">
        <f>IF(Artikelstamm!$B273="","",Artikelstamm!$B273)</f>
        <v/>
      </c>
      <c r="C273" s="14">
        <f>IF(Artikelstamm!$C273="","",Artikelstamm!$C273)</f>
        <v/>
      </c>
      <c r="D273" s="12">
        <f>IF(Artikelstamm!$E273="","",Artikelstamm!$E273)</f>
        <v/>
      </c>
      <c r="E273" s="27">
        <f>SUMIF('Hauptmagazin'!$A:$A,$B273,'Hauptmagazin'!$F:$F)</f>
        <v/>
      </c>
      <c r="F273" s="27">
        <f>SUMIF('Panorama'!$A:$A,$B273,'Panorama'!$F:$F)</f>
        <v/>
      </c>
      <c r="G273" s="27">
        <f>SUMIF('Kachelofen'!$A:$A,$B273,'Kachelofen'!$F:$F)</f>
        <v/>
      </c>
      <c r="H273" s="27">
        <f>SUMIF('Gugelhupf'!$A:$A,$B273,'Gugelhupf'!$F:$F)</f>
        <v/>
      </c>
      <c r="I273" s="27">
        <f>SUMIF('Lucia'!$A:$A,$B273,'Lucia'!$F:$F)</f>
        <v/>
      </c>
      <c r="J273" s="27">
        <f>SUMIF('Bar'!$A:$A,$B273,'Bar'!$F:$F)</f>
        <v/>
      </c>
      <c r="K273" s="28">
        <f>SUM(E273:J273)</f>
        <v/>
      </c>
    </row>
    <row r="274">
      <c r="A274" s="15">
        <f>IF(Artikelstamm!$A274="","",Artikelstamm!$A274)</f>
        <v/>
      </c>
      <c r="B274" s="17">
        <f>IF(Artikelstamm!$B274="","",Artikelstamm!$B274)</f>
        <v/>
      </c>
      <c r="C274" s="17">
        <f>IF(Artikelstamm!$C274="","",Artikelstamm!$C274)</f>
        <v/>
      </c>
      <c r="D274" s="15">
        <f>IF(Artikelstamm!$E274="","",Artikelstamm!$E274)</f>
        <v/>
      </c>
      <c r="E274" s="29">
        <f>SUMIF('Hauptmagazin'!$A:$A,$B274,'Hauptmagazin'!$F:$F)</f>
        <v/>
      </c>
      <c r="F274" s="29">
        <f>SUMIF('Panorama'!$A:$A,$B274,'Panorama'!$F:$F)</f>
        <v/>
      </c>
      <c r="G274" s="29">
        <f>SUMIF('Kachelofen'!$A:$A,$B274,'Kachelofen'!$F:$F)</f>
        <v/>
      </c>
      <c r="H274" s="29">
        <f>SUMIF('Gugelhupf'!$A:$A,$B274,'Gugelhupf'!$F:$F)</f>
        <v/>
      </c>
      <c r="I274" s="29">
        <f>SUMIF('Lucia'!$A:$A,$B274,'Lucia'!$F:$F)</f>
        <v/>
      </c>
      <c r="J274" s="29">
        <f>SUMIF('Bar'!$A:$A,$B274,'Bar'!$F:$F)</f>
        <v/>
      </c>
      <c r="K274" s="30">
        <f>SUM(E274:J274)</f>
        <v/>
      </c>
    </row>
    <row r="275">
      <c r="A275" s="12">
        <f>IF(Artikelstamm!$A275="","",Artikelstamm!$A275)</f>
        <v/>
      </c>
      <c r="B275" s="14">
        <f>IF(Artikelstamm!$B275="","",Artikelstamm!$B275)</f>
        <v/>
      </c>
      <c r="C275" s="14">
        <f>IF(Artikelstamm!$C275="","",Artikelstamm!$C275)</f>
        <v/>
      </c>
      <c r="D275" s="12">
        <f>IF(Artikelstamm!$E275="","",Artikelstamm!$E275)</f>
        <v/>
      </c>
      <c r="E275" s="27">
        <f>SUMIF('Hauptmagazin'!$A:$A,$B275,'Hauptmagazin'!$F:$F)</f>
        <v/>
      </c>
      <c r="F275" s="27">
        <f>SUMIF('Panorama'!$A:$A,$B275,'Panorama'!$F:$F)</f>
        <v/>
      </c>
      <c r="G275" s="27">
        <f>SUMIF('Kachelofen'!$A:$A,$B275,'Kachelofen'!$F:$F)</f>
        <v/>
      </c>
      <c r="H275" s="27">
        <f>SUMIF('Gugelhupf'!$A:$A,$B275,'Gugelhupf'!$F:$F)</f>
        <v/>
      </c>
      <c r="I275" s="27">
        <f>SUMIF('Lucia'!$A:$A,$B275,'Lucia'!$F:$F)</f>
        <v/>
      </c>
      <c r="J275" s="27">
        <f>SUMIF('Bar'!$A:$A,$B275,'Bar'!$F:$F)</f>
        <v/>
      </c>
      <c r="K275" s="28">
        <f>SUM(E275:J275)</f>
        <v/>
      </c>
    </row>
    <row r="276">
      <c r="A276" s="15">
        <f>IF(Artikelstamm!$A276="","",Artikelstamm!$A276)</f>
        <v/>
      </c>
      <c r="B276" s="17">
        <f>IF(Artikelstamm!$B276="","",Artikelstamm!$B276)</f>
        <v/>
      </c>
      <c r="C276" s="17">
        <f>IF(Artikelstamm!$C276="","",Artikelstamm!$C276)</f>
        <v/>
      </c>
      <c r="D276" s="15">
        <f>IF(Artikelstamm!$E276="","",Artikelstamm!$E276)</f>
        <v/>
      </c>
      <c r="E276" s="29">
        <f>SUMIF('Hauptmagazin'!$A:$A,$B276,'Hauptmagazin'!$F:$F)</f>
        <v/>
      </c>
      <c r="F276" s="29">
        <f>SUMIF('Panorama'!$A:$A,$B276,'Panorama'!$F:$F)</f>
        <v/>
      </c>
      <c r="G276" s="29">
        <f>SUMIF('Kachelofen'!$A:$A,$B276,'Kachelofen'!$F:$F)</f>
        <v/>
      </c>
      <c r="H276" s="29">
        <f>SUMIF('Gugelhupf'!$A:$A,$B276,'Gugelhupf'!$F:$F)</f>
        <v/>
      </c>
      <c r="I276" s="29">
        <f>SUMIF('Lucia'!$A:$A,$B276,'Lucia'!$F:$F)</f>
        <v/>
      </c>
      <c r="J276" s="29">
        <f>SUMIF('Bar'!$A:$A,$B276,'Bar'!$F:$F)</f>
        <v/>
      </c>
      <c r="K276" s="30">
        <f>SUM(E276:J276)</f>
        <v/>
      </c>
    </row>
    <row r="277">
      <c r="A277" s="12">
        <f>IF(Artikelstamm!$A277="","",Artikelstamm!$A277)</f>
        <v/>
      </c>
      <c r="B277" s="14">
        <f>IF(Artikelstamm!$B277="","",Artikelstamm!$B277)</f>
        <v/>
      </c>
      <c r="C277" s="14">
        <f>IF(Artikelstamm!$C277="","",Artikelstamm!$C277)</f>
        <v/>
      </c>
      <c r="D277" s="12">
        <f>IF(Artikelstamm!$E277="","",Artikelstamm!$E277)</f>
        <v/>
      </c>
      <c r="E277" s="27">
        <f>SUMIF('Hauptmagazin'!$A:$A,$B277,'Hauptmagazin'!$F:$F)</f>
        <v/>
      </c>
      <c r="F277" s="27">
        <f>SUMIF('Panorama'!$A:$A,$B277,'Panorama'!$F:$F)</f>
        <v/>
      </c>
      <c r="G277" s="27">
        <f>SUMIF('Kachelofen'!$A:$A,$B277,'Kachelofen'!$F:$F)</f>
        <v/>
      </c>
      <c r="H277" s="27">
        <f>SUMIF('Gugelhupf'!$A:$A,$B277,'Gugelhupf'!$F:$F)</f>
        <v/>
      </c>
      <c r="I277" s="27">
        <f>SUMIF('Lucia'!$A:$A,$B277,'Lucia'!$F:$F)</f>
        <v/>
      </c>
      <c r="J277" s="27">
        <f>SUMIF('Bar'!$A:$A,$B277,'Bar'!$F:$F)</f>
        <v/>
      </c>
      <c r="K277" s="28">
        <f>SUM(E277:J277)</f>
        <v/>
      </c>
    </row>
    <row r="278">
      <c r="A278" s="15">
        <f>IF(Artikelstamm!$A278="","",Artikelstamm!$A278)</f>
        <v/>
      </c>
      <c r="B278" s="17">
        <f>IF(Artikelstamm!$B278="","",Artikelstamm!$B278)</f>
        <v/>
      </c>
      <c r="C278" s="17">
        <f>IF(Artikelstamm!$C278="","",Artikelstamm!$C278)</f>
        <v/>
      </c>
      <c r="D278" s="15">
        <f>IF(Artikelstamm!$E278="","",Artikelstamm!$E278)</f>
        <v/>
      </c>
      <c r="E278" s="29">
        <f>SUMIF('Hauptmagazin'!$A:$A,$B278,'Hauptmagazin'!$F:$F)</f>
        <v/>
      </c>
      <c r="F278" s="29">
        <f>SUMIF('Panorama'!$A:$A,$B278,'Panorama'!$F:$F)</f>
        <v/>
      </c>
      <c r="G278" s="29">
        <f>SUMIF('Kachelofen'!$A:$A,$B278,'Kachelofen'!$F:$F)</f>
        <v/>
      </c>
      <c r="H278" s="29">
        <f>SUMIF('Gugelhupf'!$A:$A,$B278,'Gugelhupf'!$F:$F)</f>
        <v/>
      </c>
      <c r="I278" s="29">
        <f>SUMIF('Lucia'!$A:$A,$B278,'Lucia'!$F:$F)</f>
        <v/>
      </c>
      <c r="J278" s="29">
        <f>SUMIF('Bar'!$A:$A,$B278,'Bar'!$F:$F)</f>
        <v/>
      </c>
      <c r="K278" s="30">
        <f>SUM(E278:J278)</f>
        <v/>
      </c>
    </row>
    <row r="279">
      <c r="A279" s="12">
        <f>IF(Artikelstamm!$A279="","",Artikelstamm!$A279)</f>
        <v/>
      </c>
      <c r="B279" s="14">
        <f>IF(Artikelstamm!$B279="","",Artikelstamm!$B279)</f>
        <v/>
      </c>
      <c r="C279" s="14">
        <f>IF(Artikelstamm!$C279="","",Artikelstamm!$C279)</f>
        <v/>
      </c>
      <c r="D279" s="12">
        <f>IF(Artikelstamm!$E279="","",Artikelstamm!$E279)</f>
        <v/>
      </c>
      <c r="E279" s="27">
        <f>SUMIF('Hauptmagazin'!$A:$A,$B279,'Hauptmagazin'!$F:$F)</f>
        <v/>
      </c>
      <c r="F279" s="27">
        <f>SUMIF('Panorama'!$A:$A,$B279,'Panorama'!$F:$F)</f>
        <v/>
      </c>
      <c r="G279" s="27">
        <f>SUMIF('Kachelofen'!$A:$A,$B279,'Kachelofen'!$F:$F)</f>
        <v/>
      </c>
      <c r="H279" s="27">
        <f>SUMIF('Gugelhupf'!$A:$A,$B279,'Gugelhupf'!$F:$F)</f>
        <v/>
      </c>
      <c r="I279" s="27">
        <f>SUMIF('Lucia'!$A:$A,$B279,'Lucia'!$F:$F)</f>
        <v/>
      </c>
      <c r="J279" s="27">
        <f>SUMIF('Bar'!$A:$A,$B279,'Bar'!$F:$F)</f>
        <v/>
      </c>
      <c r="K279" s="28">
        <f>SUM(E279:J279)</f>
        <v/>
      </c>
    </row>
    <row r="280">
      <c r="A280" s="15">
        <f>IF(Artikelstamm!$A280="","",Artikelstamm!$A280)</f>
        <v/>
      </c>
      <c r="B280" s="17">
        <f>IF(Artikelstamm!$B280="","",Artikelstamm!$B280)</f>
        <v/>
      </c>
      <c r="C280" s="17">
        <f>IF(Artikelstamm!$C280="","",Artikelstamm!$C280)</f>
        <v/>
      </c>
      <c r="D280" s="15">
        <f>IF(Artikelstamm!$E280="","",Artikelstamm!$E280)</f>
        <v/>
      </c>
      <c r="E280" s="29">
        <f>SUMIF('Hauptmagazin'!$A:$A,$B280,'Hauptmagazin'!$F:$F)</f>
        <v/>
      </c>
      <c r="F280" s="29">
        <f>SUMIF('Panorama'!$A:$A,$B280,'Panorama'!$F:$F)</f>
        <v/>
      </c>
      <c r="G280" s="29">
        <f>SUMIF('Kachelofen'!$A:$A,$B280,'Kachelofen'!$F:$F)</f>
        <v/>
      </c>
      <c r="H280" s="29">
        <f>SUMIF('Gugelhupf'!$A:$A,$B280,'Gugelhupf'!$F:$F)</f>
        <v/>
      </c>
      <c r="I280" s="29">
        <f>SUMIF('Lucia'!$A:$A,$B280,'Lucia'!$F:$F)</f>
        <v/>
      </c>
      <c r="J280" s="29">
        <f>SUMIF('Bar'!$A:$A,$B280,'Bar'!$F:$F)</f>
        <v/>
      </c>
      <c r="K280" s="30">
        <f>SUM(E280:J280)</f>
        <v/>
      </c>
    </row>
    <row r="281">
      <c r="A281" s="12">
        <f>IF(Artikelstamm!$A281="","",Artikelstamm!$A281)</f>
        <v/>
      </c>
      <c r="B281" s="14">
        <f>IF(Artikelstamm!$B281="","",Artikelstamm!$B281)</f>
        <v/>
      </c>
      <c r="C281" s="14">
        <f>IF(Artikelstamm!$C281="","",Artikelstamm!$C281)</f>
        <v/>
      </c>
      <c r="D281" s="12">
        <f>IF(Artikelstamm!$E281="","",Artikelstamm!$E281)</f>
        <v/>
      </c>
      <c r="E281" s="27">
        <f>SUMIF('Hauptmagazin'!$A:$A,$B281,'Hauptmagazin'!$F:$F)</f>
        <v/>
      </c>
      <c r="F281" s="27">
        <f>SUMIF('Panorama'!$A:$A,$B281,'Panorama'!$F:$F)</f>
        <v/>
      </c>
      <c r="G281" s="27">
        <f>SUMIF('Kachelofen'!$A:$A,$B281,'Kachelofen'!$F:$F)</f>
        <v/>
      </c>
      <c r="H281" s="27">
        <f>SUMIF('Gugelhupf'!$A:$A,$B281,'Gugelhupf'!$F:$F)</f>
        <v/>
      </c>
      <c r="I281" s="27">
        <f>SUMIF('Lucia'!$A:$A,$B281,'Lucia'!$F:$F)</f>
        <v/>
      </c>
      <c r="J281" s="27">
        <f>SUMIF('Bar'!$A:$A,$B281,'Bar'!$F:$F)</f>
        <v/>
      </c>
      <c r="K281" s="28">
        <f>SUM(E281:J281)</f>
        <v/>
      </c>
    </row>
    <row r="282">
      <c r="A282" s="15">
        <f>IF(Artikelstamm!$A282="","",Artikelstamm!$A282)</f>
        <v/>
      </c>
      <c r="B282" s="17">
        <f>IF(Artikelstamm!$B282="","",Artikelstamm!$B282)</f>
        <v/>
      </c>
      <c r="C282" s="17">
        <f>IF(Artikelstamm!$C282="","",Artikelstamm!$C282)</f>
        <v/>
      </c>
      <c r="D282" s="15">
        <f>IF(Artikelstamm!$E282="","",Artikelstamm!$E282)</f>
        <v/>
      </c>
      <c r="E282" s="29">
        <f>SUMIF('Hauptmagazin'!$A:$A,$B282,'Hauptmagazin'!$F:$F)</f>
        <v/>
      </c>
      <c r="F282" s="29">
        <f>SUMIF('Panorama'!$A:$A,$B282,'Panorama'!$F:$F)</f>
        <v/>
      </c>
      <c r="G282" s="29">
        <f>SUMIF('Kachelofen'!$A:$A,$B282,'Kachelofen'!$F:$F)</f>
        <v/>
      </c>
      <c r="H282" s="29">
        <f>SUMIF('Gugelhupf'!$A:$A,$B282,'Gugelhupf'!$F:$F)</f>
        <v/>
      </c>
      <c r="I282" s="29">
        <f>SUMIF('Lucia'!$A:$A,$B282,'Lucia'!$F:$F)</f>
        <v/>
      </c>
      <c r="J282" s="29">
        <f>SUMIF('Bar'!$A:$A,$B282,'Bar'!$F:$F)</f>
        <v/>
      </c>
      <c r="K282" s="30">
        <f>SUM(E282:J282)</f>
        <v/>
      </c>
    </row>
    <row r="283">
      <c r="A283" s="12">
        <f>IF(Artikelstamm!$A283="","",Artikelstamm!$A283)</f>
        <v/>
      </c>
      <c r="B283" s="14">
        <f>IF(Artikelstamm!$B283="","",Artikelstamm!$B283)</f>
        <v/>
      </c>
      <c r="C283" s="14">
        <f>IF(Artikelstamm!$C283="","",Artikelstamm!$C283)</f>
        <v/>
      </c>
      <c r="D283" s="12">
        <f>IF(Artikelstamm!$E283="","",Artikelstamm!$E283)</f>
        <v/>
      </c>
      <c r="E283" s="27">
        <f>SUMIF('Hauptmagazin'!$A:$A,$B283,'Hauptmagazin'!$F:$F)</f>
        <v/>
      </c>
      <c r="F283" s="27">
        <f>SUMIF('Panorama'!$A:$A,$B283,'Panorama'!$F:$F)</f>
        <v/>
      </c>
      <c r="G283" s="27">
        <f>SUMIF('Kachelofen'!$A:$A,$B283,'Kachelofen'!$F:$F)</f>
        <v/>
      </c>
      <c r="H283" s="27">
        <f>SUMIF('Gugelhupf'!$A:$A,$B283,'Gugelhupf'!$F:$F)</f>
        <v/>
      </c>
      <c r="I283" s="27">
        <f>SUMIF('Lucia'!$A:$A,$B283,'Lucia'!$F:$F)</f>
        <v/>
      </c>
      <c r="J283" s="27">
        <f>SUMIF('Bar'!$A:$A,$B283,'Bar'!$F:$F)</f>
        <v/>
      </c>
      <c r="K283" s="28">
        <f>SUM(E283:J283)</f>
        <v/>
      </c>
    </row>
    <row r="284">
      <c r="A284" s="15">
        <f>IF(Artikelstamm!$A284="","",Artikelstamm!$A284)</f>
        <v/>
      </c>
      <c r="B284" s="17">
        <f>IF(Artikelstamm!$B284="","",Artikelstamm!$B284)</f>
        <v/>
      </c>
      <c r="C284" s="17">
        <f>IF(Artikelstamm!$C284="","",Artikelstamm!$C284)</f>
        <v/>
      </c>
      <c r="D284" s="15">
        <f>IF(Artikelstamm!$E284="","",Artikelstamm!$E284)</f>
        <v/>
      </c>
      <c r="E284" s="29">
        <f>SUMIF('Hauptmagazin'!$A:$A,$B284,'Hauptmagazin'!$F:$F)</f>
        <v/>
      </c>
      <c r="F284" s="29">
        <f>SUMIF('Panorama'!$A:$A,$B284,'Panorama'!$F:$F)</f>
        <v/>
      </c>
      <c r="G284" s="29">
        <f>SUMIF('Kachelofen'!$A:$A,$B284,'Kachelofen'!$F:$F)</f>
        <v/>
      </c>
      <c r="H284" s="29">
        <f>SUMIF('Gugelhupf'!$A:$A,$B284,'Gugelhupf'!$F:$F)</f>
        <v/>
      </c>
      <c r="I284" s="29">
        <f>SUMIF('Lucia'!$A:$A,$B284,'Lucia'!$F:$F)</f>
        <v/>
      </c>
      <c r="J284" s="29">
        <f>SUMIF('Bar'!$A:$A,$B284,'Bar'!$F:$F)</f>
        <v/>
      </c>
      <c r="K284" s="30">
        <f>SUM(E284:J284)</f>
        <v/>
      </c>
    </row>
    <row r="285">
      <c r="A285" s="12">
        <f>IF(Artikelstamm!$A285="","",Artikelstamm!$A285)</f>
        <v/>
      </c>
      <c r="B285" s="14">
        <f>IF(Artikelstamm!$B285="","",Artikelstamm!$B285)</f>
        <v/>
      </c>
      <c r="C285" s="14">
        <f>IF(Artikelstamm!$C285="","",Artikelstamm!$C285)</f>
        <v/>
      </c>
      <c r="D285" s="12">
        <f>IF(Artikelstamm!$E285="","",Artikelstamm!$E285)</f>
        <v/>
      </c>
      <c r="E285" s="27">
        <f>SUMIF('Hauptmagazin'!$A:$A,$B285,'Hauptmagazin'!$F:$F)</f>
        <v/>
      </c>
      <c r="F285" s="27">
        <f>SUMIF('Panorama'!$A:$A,$B285,'Panorama'!$F:$F)</f>
        <v/>
      </c>
      <c r="G285" s="27">
        <f>SUMIF('Kachelofen'!$A:$A,$B285,'Kachelofen'!$F:$F)</f>
        <v/>
      </c>
      <c r="H285" s="27">
        <f>SUMIF('Gugelhupf'!$A:$A,$B285,'Gugelhupf'!$F:$F)</f>
        <v/>
      </c>
      <c r="I285" s="27">
        <f>SUMIF('Lucia'!$A:$A,$B285,'Lucia'!$F:$F)</f>
        <v/>
      </c>
      <c r="J285" s="27">
        <f>SUMIF('Bar'!$A:$A,$B285,'Bar'!$F:$F)</f>
        <v/>
      </c>
      <c r="K285" s="28">
        <f>SUM(E285:J285)</f>
        <v/>
      </c>
    </row>
    <row r="286">
      <c r="A286" s="15">
        <f>IF(Artikelstamm!$A286="","",Artikelstamm!$A286)</f>
        <v/>
      </c>
      <c r="B286" s="17">
        <f>IF(Artikelstamm!$B286="","",Artikelstamm!$B286)</f>
        <v/>
      </c>
      <c r="C286" s="17">
        <f>IF(Artikelstamm!$C286="","",Artikelstamm!$C286)</f>
        <v/>
      </c>
      <c r="D286" s="15">
        <f>IF(Artikelstamm!$E286="","",Artikelstamm!$E286)</f>
        <v/>
      </c>
      <c r="E286" s="29">
        <f>SUMIF('Hauptmagazin'!$A:$A,$B286,'Hauptmagazin'!$F:$F)</f>
        <v/>
      </c>
      <c r="F286" s="29">
        <f>SUMIF('Panorama'!$A:$A,$B286,'Panorama'!$F:$F)</f>
        <v/>
      </c>
      <c r="G286" s="29">
        <f>SUMIF('Kachelofen'!$A:$A,$B286,'Kachelofen'!$F:$F)</f>
        <v/>
      </c>
      <c r="H286" s="29">
        <f>SUMIF('Gugelhupf'!$A:$A,$B286,'Gugelhupf'!$F:$F)</f>
        <v/>
      </c>
      <c r="I286" s="29">
        <f>SUMIF('Lucia'!$A:$A,$B286,'Lucia'!$F:$F)</f>
        <v/>
      </c>
      <c r="J286" s="29">
        <f>SUMIF('Bar'!$A:$A,$B286,'Bar'!$F:$F)</f>
        <v/>
      </c>
      <c r="K286" s="30">
        <f>SUM(E286:J286)</f>
        <v/>
      </c>
    </row>
    <row r="287">
      <c r="A287" s="12">
        <f>IF(Artikelstamm!$A287="","",Artikelstamm!$A287)</f>
        <v/>
      </c>
      <c r="B287" s="14">
        <f>IF(Artikelstamm!$B287="","",Artikelstamm!$B287)</f>
        <v/>
      </c>
      <c r="C287" s="14">
        <f>IF(Artikelstamm!$C287="","",Artikelstamm!$C287)</f>
        <v/>
      </c>
      <c r="D287" s="12">
        <f>IF(Artikelstamm!$E287="","",Artikelstamm!$E287)</f>
        <v/>
      </c>
      <c r="E287" s="27">
        <f>SUMIF('Hauptmagazin'!$A:$A,$B287,'Hauptmagazin'!$F:$F)</f>
        <v/>
      </c>
      <c r="F287" s="27">
        <f>SUMIF('Panorama'!$A:$A,$B287,'Panorama'!$F:$F)</f>
        <v/>
      </c>
      <c r="G287" s="27">
        <f>SUMIF('Kachelofen'!$A:$A,$B287,'Kachelofen'!$F:$F)</f>
        <v/>
      </c>
      <c r="H287" s="27">
        <f>SUMIF('Gugelhupf'!$A:$A,$B287,'Gugelhupf'!$F:$F)</f>
        <v/>
      </c>
      <c r="I287" s="27">
        <f>SUMIF('Lucia'!$A:$A,$B287,'Lucia'!$F:$F)</f>
        <v/>
      </c>
      <c r="J287" s="27">
        <f>SUMIF('Bar'!$A:$A,$B287,'Bar'!$F:$F)</f>
        <v/>
      </c>
      <c r="K287" s="28">
        <f>SUM(E287:J287)</f>
        <v/>
      </c>
    </row>
    <row r="288">
      <c r="A288" s="15">
        <f>IF(Artikelstamm!$A288="","",Artikelstamm!$A288)</f>
        <v/>
      </c>
      <c r="B288" s="17">
        <f>IF(Artikelstamm!$B288="","",Artikelstamm!$B288)</f>
        <v/>
      </c>
      <c r="C288" s="17">
        <f>IF(Artikelstamm!$C288="","",Artikelstamm!$C288)</f>
        <v/>
      </c>
      <c r="D288" s="15">
        <f>IF(Artikelstamm!$E288="","",Artikelstamm!$E288)</f>
        <v/>
      </c>
      <c r="E288" s="29">
        <f>SUMIF('Hauptmagazin'!$A:$A,$B288,'Hauptmagazin'!$F:$F)</f>
        <v/>
      </c>
      <c r="F288" s="29">
        <f>SUMIF('Panorama'!$A:$A,$B288,'Panorama'!$F:$F)</f>
        <v/>
      </c>
      <c r="G288" s="29">
        <f>SUMIF('Kachelofen'!$A:$A,$B288,'Kachelofen'!$F:$F)</f>
        <v/>
      </c>
      <c r="H288" s="29">
        <f>SUMIF('Gugelhupf'!$A:$A,$B288,'Gugelhupf'!$F:$F)</f>
        <v/>
      </c>
      <c r="I288" s="29">
        <f>SUMIF('Lucia'!$A:$A,$B288,'Lucia'!$F:$F)</f>
        <v/>
      </c>
      <c r="J288" s="29">
        <f>SUMIF('Bar'!$A:$A,$B288,'Bar'!$F:$F)</f>
        <v/>
      </c>
      <c r="K288" s="30">
        <f>SUM(E288:J288)</f>
        <v/>
      </c>
    </row>
    <row r="289">
      <c r="A289" s="12">
        <f>IF(Artikelstamm!$A289="","",Artikelstamm!$A289)</f>
        <v/>
      </c>
      <c r="B289" s="14">
        <f>IF(Artikelstamm!$B289="","",Artikelstamm!$B289)</f>
        <v/>
      </c>
      <c r="C289" s="14">
        <f>IF(Artikelstamm!$C289="","",Artikelstamm!$C289)</f>
        <v/>
      </c>
      <c r="D289" s="12">
        <f>IF(Artikelstamm!$E289="","",Artikelstamm!$E289)</f>
        <v/>
      </c>
      <c r="E289" s="27">
        <f>SUMIF('Hauptmagazin'!$A:$A,$B289,'Hauptmagazin'!$F:$F)</f>
        <v/>
      </c>
      <c r="F289" s="27">
        <f>SUMIF('Panorama'!$A:$A,$B289,'Panorama'!$F:$F)</f>
        <v/>
      </c>
      <c r="G289" s="27">
        <f>SUMIF('Kachelofen'!$A:$A,$B289,'Kachelofen'!$F:$F)</f>
        <v/>
      </c>
      <c r="H289" s="27">
        <f>SUMIF('Gugelhupf'!$A:$A,$B289,'Gugelhupf'!$F:$F)</f>
        <v/>
      </c>
      <c r="I289" s="27">
        <f>SUMIF('Lucia'!$A:$A,$B289,'Lucia'!$F:$F)</f>
        <v/>
      </c>
      <c r="J289" s="27">
        <f>SUMIF('Bar'!$A:$A,$B289,'Bar'!$F:$F)</f>
        <v/>
      </c>
      <c r="K289" s="28">
        <f>SUM(E289:J289)</f>
        <v/>
      </c>
    </row>
    <row r="290">
      <c r="A290" s="15">
        <f>IF(Artikelstamm!$A290="","",Artikelstamm!$A290)</f>
        <v/>
      </c>
      <c r="B290" s="17">
        <f>IF(Artikelstamm!$B290="","",Artikelstamm!$B290)</f>
        <v/>
      </c>
      <c r="C290" s="17">
        <f>IF(Artikelstamm!$C290="","",Artikelstamm!$C290)</f>
        <v/>
      </c>
      <c r="D290" s="15">
        <f>IF(Artikelstamm!$E290="","",Artikelstamm!$E290)</f>
        <v/>
      </c>
      <c r="E290" s="29">
        <f>SUMIF('Hauptmagazin'!$A:$A,$B290,'Hauptmagazin'!$F:$F)</f>
        <v/>
      </c>
      <c r="F290" s="29">
        <f>SUMIF('Panorama'!$A:$A,$B290,'Panorama'!$F:$F)</f>
        <v/>
      </c>
      <c r="G290" s="29">
        <f>SUMIF('Kachelofen'!$A:$A,$B290,'Kachelofen'!$F:$F)</f>
        <v/>
      </c>
      <c r="H290" s="29">
        <f>SUMIF('Gugelhupf'!$A:$A,$B290,'Gugelhupf'!$F:$F)</f>
        <v/>
      </c>
      <c r="I290" s="29">
        <f>SUMIF('Lucia'!$A:$A,$B290,'Lucia'!$F:$F)</f>
        <v/>
      </c>
      <c r="J290" s="29">
        <f>SUMIF('Bar'!$A:$A,$B290,'Bar'!$F:$F)</f>
        <v/>
      </c>
      <c r="K290" s="30">
        <f>SUM(E290:J290)</f>
        <v/>
      </c>
    </row>
    <row r="291">
      <c r="A291" s="12">
        <f>IF(Artikelstamm!$A291="","",Artikelstamm!$A291)</f>
        <v/>
      </c>
      <c r="B291" s="14">
        <f>IF(Artikelstamm!$B291="","",Artikelstamm!$B291)</f>
        <v/>
      </c>
      <c r="C291" s="14">
        <f>IF(Artikelstamm!$C291="","",Artikelstamm!$C291)</f>
        <v/>
      </c>
      <c r="D291" s="12">
        <f>IF(Artikelstamm!$E291="","",Artikelstamm!$E291)</f>
        <v/>
      </c>
      <c r="E291" s="27">
        <f>SUMIF('Hauptmagazin'!$A:$A,$B291,'Hauptmagazin'!$F:$F)</f>
        <v/>
      </c>
      <c r="F291" s="27">
        <f>SUMIF('Panorama'!$A:$A,$B291,'Panorama'!$F:$F)</f>
        <v/>
      </c>
      <c r="G291" s="27">
        <f>SUMIF('Kachelofen'!$A:$A,$B291,'Kachelofen'!$F:$F)</f>
        <v/>
      </c>
      <c r="H291" s="27">
        <f>SUMIF('Gugelhupf'!$A:$A,$B291,'Gugelhupf'!$F:$F)</f>
        <v/>
      </c>
      <c r="I291" s="27">
        <f>SUMIF('Lucia'!$A:$A,$B291,'Lucia'!$F:$F)</f>
        <v/>
      </c>
      <c r="J291" s="27">
        <f>SUMIF('Bar'!$A:$A,$B291,'Bar'!$F:$F)</f>
        <v/>
      </c>
      <c r="K291" s="28">
        <f>SUM(E291:J291)</f>
        <v/>
      </c>
    </row>
    <row r="292">
      <c r="A292" s="15">
        <f>IF(Artikelstamm!$A292="","",Artikelstamm!$A292)</f>
        <v/>
      </c>
      <c r="B292" s="17">
        <f>IF(Artikelstamm!$B292="","",Artikelstamm!$B292)</f>
        <v/>
      </c>
      <c r="C292" s="17">
        <f>IF(Artikelstamm!$C292="","",Artikelstamm!$C292)</f>
        <v/>
      </c>
      <c r="D292" s="15">
        <f>IF(Artikelstamm!$E292="","",Artikelstamm!$E292)</f>
        <v/>
      </c>
      <c r="E292" s="29">
        <f>SUMIF('Hauptmagazin'!$A:$A,$B292,'Hauptmagazin'!$F:$F)</f>
        <v/>
      </c>
      <c r="F292" s="29">
        <f>SUMIF('Panorama'!$A:$A,$B292,'Panorama'!$F:$F)</f>
        <v/>
      </c>
      <c r="G292" s="29">
        <f>SUMIF('Kachelofen'!$A:$A,$B292,'Kachelofen'!$F:$F)</f>
        <v/>
      </c>
      <c r="H292" s="29">
        <f>SUMIF('Gugelhupf'!$A:$A,$B292,'Gugelhupf'!$F:$F)</f>
        <v/>
      </c>
      <c r="I292" s="29">
        <f>SUMIF('Lucia'!$A:$A,$B292,'Lucia'!$F:$F)</f>
        <v/>
      </c>
      <c r="J292" s="29">
        <f>SUMIF('Bar'!$A:$A,$B292,'Bar'!$F:$F)</f>
        <v/>
      </c>
      <c r="K292" s="30">
        <f>SUM(E292:J292)</f>
        <v/>
      </c>
    </row>
    <row r="293">
      <c r="A293" s="12">
        <f>IF(Artikelstamm!$A293="","",Artikelstamm!$A293)</f>
        <v/>
      </c>
      <c r="B293" s="14">
        <f>IF(Artikelstamm!$B293="","",Artikelstamm!$B293)</f>
        <v/>
      </c>
      <c r="C293" s="14">
        <f>IF(Artikelstamm!$C293="","",Artikelstamm!$C293)</f>
        <v/>
      </c>
      <c r="D293" s="12">
        <f>IF(Artikelstamm!$E293="","",Artikelstamm!$E293)</f>
        <v/>
      </c>
      <c r="E293" s="27">
        <f>SUMIF('Hauptmagazin'!$A:$A,$B293,'Hauptmagazin'!$F:$F)</f>
        <v/>
      </c>
      <c r="F293" s="27">
        <f>SUMIF('Panorama'!$A:$A,$B293,'Panorama'!$F:$F)</f>
        <v/>
      </c>
      <c r="G293" s="27">
        <f>SUMIF('Kachelofen'!$A:$A,$B293,'Kachelofen'!$F:$F)</f>
        <v/>
      </c>
      <c r="H293" s="27">
        <f>SUMIF('Gugelhupf'!$A:$A,$B293,'Gugelhupf'!$F:$F)</f>
        <v/>
      </c>
      <c r="I293" s="27">
        <f>SUMIF('Lucia'!$A:$A,$B293,'Lucia'!$F:$F)</f>
        <v/>
      </c>
      <c r="J293" s="27">
        <f>SUMIF('Bar'!$A:$A,$B293,'Bar'!$F:$F)</f>
        <v/>
      </c>
      <c r="K293" s="28">
        <f>SUM(E293:J293)</f>
        <v/>
      </c>
    </row>
    <row r="294">
      <c r="A294" s="15">
        <f>IF(Artikelstamm!$A294="","",Artikelstamm!$A294)</f>
        <v/>
      </c>
      <c r="B294" s="17">
        <f>IF(Artikelstamm!$B294="","",Artikelstamm!$B294)</f>
        <v/>
      </c>
      <c r="C294" s="17">
        <f>IF(Artikelstamm!$C294="","",Artikelstamm!$C294)</f>
        <v/>
      </c>
      <c r="D294" s="15">
        <f>IF(Artikelstamm!$E294="","",Artikelstamm!$E294)</f>
        <v/>
      </c>
      <c r="E294" s="29">
        <f>SUMIF('Hauptmagazin'!$A:$A,$B294,'Hauptmagazin'!$F:$F)</f>
        <v/>
      </c>
      <c r="F294" s="29">
        <f>SUMIF('Panorama'!$A:$A,$B294,'Panorama'!$F:$F)</f>
        <v/>
      </c>
      <c r="G294" s="29">
        <f>SUMIF('Kachelofen'!$A:$A,$B294,'Kachelofen'!$F:$F)</f>
        <v/>
      </c>
      <c r="H294" s="29">
        <f>SUMIF('Gugelhupf'!$A:$A,$B294,'Gugelhupf'!$F:$F)</f>
        <v/>
      </c>
      <c r="I294" s="29">
        <f>SUMIF('Lucia'!$A:$A,$B294,'Lucia'!$F:$F)</f>
        <v/>
      </c>
      <c r="J294" s="29">
        <f>SUMIF('Bar'!$A:$A,$B294,'Bar'!$F:$F)</f>
        <v/>
      </c>
      <c r="K294" s="30">
        <f>SUM(E294:J294)</f>
        <v/>
      </c>
    </row>
    <row r="295">
      <c r="A295" s="12">
        <f>IF(Artikelstamm!$A295="","",Artikelstamm!$A295)</f>
        <v/>
      </c>
      <c r="B295" s="14">
        <f>IF(Artikelstamm!$B295="","",Artikelstamm!$B295)</f>
        <v/>
      </c>
      <c r="C295" s="14">
        <f>IF(Artikelstamm!$C295="","",Artikelstamm!$C295)</f>
        <v/>
      </c>
      <c r="D295" s="12">
        <f>IF(Artikelstamm!$E295="","",Artikelstamm!$E295)</f>
        <v/>
      </c>
      <c r="E295" s="27">
        <f>SUMIF('Hauptmagazin'!$A:$A,$B295,'Hauptmagazin'!$F:$F)</f>
        <v/>
      </c>
      <c r="F295" s="27">
        <f>SUMIF('Panorama'!$A:$A,$B295,'Panorama'!$F:$F)</f>
        <v/>
      </c>
      <c r="G295" s="27">
        <f>SUMIF('Kachelofen'!$A:$A,$B295,'Kachelofen'!$F:$F)</f>
        <v/>
      </c>
      <c r="H295" s="27">
        <f>SUMIF('Gugelhupf'!$A:$A,$B295,'Gugelhupf'!$F:$F)</f>
        <v/>
      </c>
      <c r="I295" s="27">
        <f>SUMIF('Lucia'!$A:$A,$B295,'Lucia'!$F:$F)</f>
        <v/>
      </c>
      <c r="J295" s="27">
        <f>SUMIF('Bar'!$A:$A,$B295,'Bar'!$F:$F)</f>
        <v/>
      </c>
      <c r="K295" s="28">
        <f>SUM(E295:J295)</f>
        <v/>
      </c>
    </row>
    <row r="296">
      <c r="A296" s="15">
        <f>IF(Artikelstamm!$A296="","",Artikelstamm!$A296)</f>
        <v/>
      </c>
      <c r="B296" s="17">
        <f>IF(Artikelstamm!$B296="","",Artikelstamm!$B296)</f>
        <v/>
      </c>
      <c r="C296" s="17">
        <f>IF(Artikelstamm!$C296="","",Artikelstamm!$C296)</f>
        <v/>
      </c>
      <c r="D296" s="15">
        <f>IF(Artikelstamm!$E296="","",Artikelstamm!$E296)</f>
        <v/>
      </c>
      <c r="E296" s="29">
        <f>SUMIF('Hauptmagazin'!$A:$A,$B296,'Hauptmagazin'!$F:$F)</f>
        <v/>
      </c>
      <c r="F296" s="29">
        <f>SUMIF('Panorama'!$A:$A,$B296,'Panorama'!$F:$F)</f>
        <v/>
      </c>
      <c r="G296" s="29">
        <f>SUMIF('Kachelofen'!$A:$A,$B296,'Kachelofen'!$F:$F)</f>
        <v/>
      </c>
      <c r="H296" s="29">
        <f>SUMIF('Gugelhupf'!$A:$A,$B296,'Gugelhupf'!$F:$F)</f>
        <v/>
      </c>
      <c r="I296" s="29">
        <f>SUMIF('Lucia'!$A:$A,$B296,'Lucia'!$F:$F)</f>
        <v/>
      </c>
      <c r="J296" s="29">
        <f>SUMIF('Bar'!$A:$A,$B296,'Bar'!$F:$F)</f>
        <v/>
      </c>
      <c r="K296" s="30">
        <f>SUM(E296:J296)</f>
        <v/>
      </c>
    </row>
    <row r="297">
      <c r="A297" s="12">
        <f>IF(Artikelstamm!$A297="","",Artikelstamm!$A297)</f>
        <v/>
      </c>
      <c r="B297" s="14">
        <f>IF(Artikelstamm!$B297="","",Artikelstamm!$B297)</f>
        <v/>
      </c>
      <c r="C297" s="14">
        <f>IF(Artikelstamm!$C297="","",Artikelstamm!$C297)</f>
        <v/>
      </c>
      <c r="D297" s="12">
        <f>IF(Artikelstamm!$E297="","",Artikelstamm!$E297)</f>
        <v/>
      </c>
      <c r="E297" s="27">
        <f>SUMIF('Hauptmagazin'!$A:$A,$B297,'Hauptmagazin'!$F:$F)</f>
        <v/>
      </c>
      <c r="F297" s="27">
        <f>SUMIF('Panorama'!$A:$A,$B297,'Panorama'!$F:$F)</f>
        <v/>
      </c>
      <c r="G297" s="27">
        <f>SUMIF('Kachelofen'!$A:$A,$B297,'Kachelofen'!$F:$F)</f>
        <v/>
      </c>
      <c r="H297" s="27">
        <f>SUMIF('Gugelhupf'!$A:$A,$B297,'Gugelhupf'!$F:$F)</f>
        <v/>
      </c>
      <c r="I297" s="27">
        <f>SUMIF('Lucia'!$A:$A,$B297,'Lucia'!$F:$F)</f>
        <v/>
      </c>
      <c r="J297" s="27">
        <f>SUMIF('Bar'!$A:$A,$B297,'Bar'!$F:$F)</f>
        <v/>
      </c>
      <c r="K297" s="28">
        <f>SUM(E297:J297)</f>
        <v/>
      </c>
    </row>
    <row r="298">
      <c r="A298" s="15">
        <f>IF(Artikelstamm!$A298="","",Artikelstamm!$A298)</f>
        <v/>
      </c>
      <c r="B298" s="17">
        <f>IF(Artikelstamm!$B298="","",Artikelstamm!$B298)</f>
        <v/>
      </c>
      <c r="C298" s="17">
        <f>IF(Artikelstamm!$C298="","",Artikelstamm!$C298)</f>
        <v/>
      </c>
      <c r="D298" s="15">
        <f>IF(Artikelstamm!$E298="","",Artikelstamm!$E298)</f>
        <v/>
      </c>
      <c r="E298" s="29">
        <f>SUMIF('Hauptmagazin'!$A:$A,$B298,'Hauptmagazin'!$F:$F)</f>
        <v/>
      </c>
      <c r="F298" s="29">
        <f>SUMIF('Panorama'!$A:$A,$B298,'Panorama'!$F:$F)</f>
        <v/>
      </c>
      <c r="G298" s="29">
        <f>SUMIF('Kachelofen'!$A:$A,$B298,'Kachelofen'!$F:$F)</f>
        <v/>
      </c>
      <c r="H298" s="29">
        <f>SUMIF('Gugelhupf'!$A:$A,$B298,'Gugelhupf'!$F:$F)</f>
        <v/>
      </c>
      <c r="I298" s="29">
        <f>SUMIF('Lucia'!$A:$A,$B298,'Lucia'!$F:$F)</f>
        <v/>
      </c>
      <c r="J298" s="29">
        <f>SUMIF('Bar'!$A:$A,$B298,'Bar'!$F:$F)</f>
        <v/>
      </c>
      <c r="K298" s="30">
        <f>SUM(E298:J298)</f>
        <v/>
      </c>
    </row>
    <row r="299">
      <c r="A299" s="12">
        <f>IF(Artikelstamm!$A299="","",Artikelstamm!$A299)</f>
        <v/>
      </c>
      <c r="B299" s="14">
        <f>IF(Artikelstamm!$B299="","",Artikelstamm!$B299)</f>
        <v/>
      </c>
      <c r="C299" s="14">
        <f>IF(Artikelstamm!$C299="","",Artikelstamm!$C299)</f>
        <v/>
      </c>
      <c r="D299" s="12">
        <f>IF(Artikelstamm!$E299="","",Artikelstamm!$E299)</f>
        <v/>
      </c>
      <c r="E299" s="27">
        <f>SUMIF('Hauptmagazin'!$A:$A,$B299,'Hauptmagazin'!$F:$F)</f>
        <v/>
      </c>
      <c r="F299" s="27">
        <f>SUMIF('Panorama'!$A:$A,$B299,'Panorama'!$F:$F)</f>
        <v/>
      </c>
      <c r="G299" s="27">
        <f>SUMIF('Kachelofen'!$A:$A,$B299,'Kachelofen'!$F:$F)</f>
        <v/>
      </c>
      <c r="H299" s="27">
        <f>SUMIF('Gugelhupf'!$A:$A,$B299,'Gugelhupf'!$F:$F)</f>
        <v/>
      </c>
      <c r="I299" s="27">
        <f>SUMIF('Lucia'!$A:$A,$B299,'Lucia'!$F:$F)</f>
        <v/>
      </c>
      <c r="J299" s="27">
        <f>SUMIF('Bar'!$A:$A,$B299,'Bar'!$F:$F)</f>
        <v/>
      </c>
      <c r="K299" s="28">
        <f>SUM(E299:J299)</f>
        <v/>
      </c>
    </row>
    <row r="300">
      <c r="A300" s="15">
        <f>IF(Artikelstamm!$A300="","",Artikelstamm!$A300)</f>
        <v/>
      </c>
      <c r="B300" s="17">
        <f>IF(Artikelstamm!$B300="","",Artikelstamm!$B300)</f>
        <v/>
      </c>
      <c r="C300" s="17">
        <f>IF(Artikelstamm!$C300="","",Artikelstamm!$C300)</f>
        <v/>
      </c>
      <c r="D300" s="15">
        <f>IF(Artikelstamm!$E300="","",Artikelstamm!$E300)</f>
        <v/>
      </c>
      <c r="E300" s="29">
        <f>SUMIF('Hauptmagazin'!$A:$A,$B300,'Hauptmagazin'!$F:$F)</f>
        <v/>
      </c>
      <c r="F300" s="29">
        <f>SUMIF('Panorama'!$A:$A,$B300,'Panorama'!$F:$F)</f>
        <v/>
      </c>
      <c r="G300" s="29">
        <f>SUMIF('Kachelofen'!$A:$A,$B300,'Kachelofen'!$F:$F)</f>
        <v/>
      </c>
      <c r="H300" s="29">
        <f>SUMIF('Gugelhupf'!$A:$A,$B300,'Gugelhupf'!$F:$F)</f>
        <v/>
      </c>
      <c r="I300" s="29">
        <f>SUMIF('Lucia'!$A:$A,$B300,'Lucia'!$F:$F)</f>
        <v/>
      </c>
      <c r="J300" s="29">
        <f>SUMIF('Bar'!$A:$A,$B300,'Bar'!$F:$F)</f>
        <v/>
      </c>
      <c r="K300" s="30">
        <f>SUM(E300:J300)</f>
        <v/>
      </c>
    </row>
    <row r="301">
      <c r="A301" s="12">
        <f>IF(Artikelstamm!$A301="","",Artikelstamm!$A301)</f>
        <v/>
      </c>
      <c r="B301" s="14">
        <f>IF(Artikelstamm!$B301="","",Artikelstamm!$B301)</f>
        <v/>
      </c>
      <c r="C301" s="14">
        <f>IF(Artikelstamm!$C301="","",Artikelstamm!$C301)</f>
        <v/>
      </c>
      <c r="D301" s="12">
        <f>IF(Artikelstamm!$E301="","",Artikelstamm!$E301)</f>
        <v/>
      </c>
      <c r="E301" s="27">
        <f>SUMIF('Hauptmagazin'!$A:$A,$B301,'Hauptmagazin'!$F:$F)</f>
        <v/>
      </c>
      <c r="F301" s="27">
        <f>SUMIF('Panorama'!$A:$A,$B301,'Panorama'!$F:$F)</f>
        <v/>
      </c>
      <c r="G301" s="27">
        <f>SUMIF('Kachelofen'!$A:$A,$B301,'Kachelofen'!$F:$F)</f>
        <v/>
      </c>
      <c r="H301" s="27">
        <f>SUMIF('Gugelhupf'!$A:$A,$B301,'Gugelhupf'!$F:$F)</f>
        <v/>
      </c>
      <c r="I301" s="27">
        <f>SUMIF('Lucia'!$A:$A,$B301,'Lucia'!$F:$F)</f>
        <v/>
      </c>
      <c r="J301" s="27">
        <f>SUMIF('Bar'!$A:$A,$B301,'Bar'!$F:$F)</f>
        <v/>
      </c>
      <c r="K301" s="28">
        <f>SUM(E301:J301)</f>
        <v/>
      </c>
    </row>
    <row r="302">
      <c r="A302" s="15">
        <f>IF(Artikelstamm!$A302="","",Artikelstamm!$A302)</f>
        <v/>
      </c>
      <c r="B302" s="17">
        <f>IF(Artikelstamm!$B302="","",Artikelstamm!$B302)</f>
        <v/>
      </c>
      <c r="C302" s="17">
        <f>IF(Artikelstamm!$C302="","",Artikelstamm!$C302)</f>
        <v/>
      </c>
      <c r="D302" s="15">
        <f>IF(Artikelstamm!$E302="","",Artikelstamm!$E302)</f>
        <v/>
      </c>
      <c r="E302" s="29">
        <f>SUMIF('Hauptmagazin'!$A:$A,$B302,'Hauptmagazin'!$F:$F)</f>
        <v/>
      </c>
      <c r="F302" s="29">
        <f>SUMIF('Panorama'!$A:$A,$B302,'Panorama'!$F:$F)</f>
        <v/>
      </c>
      <c r="G302" s="29">
        <f>SUMIF('Kachelofen'!$A:$A,$B302,'Kachelofen'!$F:$F)</f>
        <v/>
      </c>
      <c r="H302" s="29">
        <f>SUMIF('Gugelhupf'!$A:$A,$B302,'Gugelhupf'!$F:$F)</f>
        <v/>
      </c>
      <c r="I302" s="29">
        <f>SUMIF('Lucia'!$A:$A,$B302,'Lucia'!$F:$F)</f>
        <v/>
      </c>
      <c r="J302" s="29">
        <f>SUMIF('Bar'!$A:$A,$B302,'Bar'!$F:$F)</f>
        <v/>
      </c>
      <c r="K302" s="30">
        <f>SUM(E302:J302)</f>
        <v/>
      </c>
    </row>
    <row r="303">
      <c r="A303" s="12">
        <f>IF(Artikelstamm!$A303="","",Artikelstamm!$A303)</f>
        <v/>
      </c>
      <c r="B303" s="14">
        <f>IF(Artikelstamm!$B303="","",Artikelstamm!$B303)</f>
        <v/>
      </c>
      <c r="C303" s="14">
        <f>IF(Artikelstamm!$C303="","",Artikelstamm!$C303)</f>
        <v/>
      </c>
      <c r="D303" s="12">
        <f>IF(Artikelstamm!$E303="","",Artikelstamm!$E303)</f>
        <v/>
      </c>
      <c r="E303" s="27">
        <f>SUMIF('Hauptmagazin'!$A:$A,$B303,'Hauptmagazin'!$F:$F)</f>
        <v/>
      </c>
      <c r="F303" s="27">
        <f>SUMIF('Panorama'!$A:$A,$B303,'Panorama'!$F:$F)</f>
        <v/>
      </c>
      <c r="G303" s="27">
        <f>SUMIF('Kachelofen'!$A:$A,$B303,'Kachelofen'!$F:$F)</f>
        <v/>
      </c>
      <c r="H303" s="27">
        <f>SUMIF('Gugelhupf'!$A:$A,$B303,'Gugelhupf'!$F:$F)</f>
        <v/>
      </c>
      <c r="I303" s="27">
        <f>SUMIF('Lucia'!$A:$A,$B303,'Lucia'!$F:$F)</f>
        <v/>
      </c>
      <c r="J303" s="27">
        <f>SUMIF('Bar'!$A:$A,$B303,'Bar'!$F:$F)</f>
        <v/>
      </c>
      <c r="K303" s="28">
        <f>SUM(E303:J303)</f>
        <v/>
      </c>
    </row>
    <row r="304">
      <c r="A304" s="15">
        <f>IF(Artikelstamm!$A304="","",Artikelstamm!$A304)</f>
        <v/>
      </c>
      <c r="B304" s="17">
        <f>IF(Artikelstamm!$B304="","",Artikelstamm!$B304)</f>
        <v/>
      </c>
      <c r="C304" s="17">
        <f>IF(Artikelstamm!$C304="","",Artikelstamm!$C304)</f>
        <v/>
      </c>
      <c r="D304" s="15">
        <f>IF(Artikelstamm!$E304="","",Artikelstamm!$E304)</f>
        <v/>
      </c>
      <c r="E304" s="29">
        <f>SUMIF('Hauptmagazin'!$A:$A,$B304,'Hauptmagazin'!$F:$F)</f>
        <v/>
      </c>
      <c r="F304" s="29">
        <f>SUMIF('Panorama'!$A:$A,$B304,'Panorama'!$F:$F)</f>
        <v/>
      </c>
      <c r="G304" s="29">
        <f>SUMIF('Kachelofen'!$A:$A,$B304,'Kachelofen'!$F:$F)</f>
        <v/>
      </c>
      <c r="H304" s="29">
        <f>SUMIF('Gugelhupf'!$A:$A,$B304,'Gugelhupf'!$F:$F)</f>
        <v/>
      </c>
      <c r="I304" s="29">
        <f>SUMIF('Lucia'!$A:$A,$B304,'Lucia'!$F:$F)</f>
        <v/>
      </c>
      <c r="J304" s="29">
        <f>SUMIF('Bar'!$A:$A,$B304,'Bar'!$F:$F)</f>
        <v/>
      </c>
      <c r="K304" s="30">
        <f>SUM(E304:J304)</f>
        <v/>
      </c>
    </row>
    <row r="305">
      <c r="A305" s="12">
        <f>IF(Artikelstamm!$A305="","",Artikelstamm!$A305)</f>
        <v/>
      </c>
      <c r="B305" s="14">
        <f>IF(Artikelstamm!$B305="","",Artikelstamm!$B305)</f>
        <v/>
      </c>
      <c r="C305" s="14">
        <f>IF(Artikelstamm!$C305="","",Artikelstamm!$C305)</f>
        <v/>
      </c>
      <c r="D305" s="12">
        <f>IF(Artikelstamm!$E305="","",Artikelstamm!$E305)</f>
        <v/>
      </c>
      <c r="E305" s="27">
        <f>SUMIF('Hauptmagazin'!$A:$A,$B305,'Hauptmagazin'!$F:$F)</f>
        <v/>
      </c>
      <c r="F305" s="27">
        <f>SUMIF('Panorama'!$A:$A,$B305,'Panorama'!$F:$F)</f>
        <v/>
      </c>
      <c r="G305" s="27">
        <f>SUMIF('Kachelofen'!$A:$A,$B305,'Kachelofen'!$F:$F)</f>
        <v/>
      </c>
      <c r="H305" s="27">
        <f>SUMIF('Gugelhupf'!$A:$A,$B305,'Gugelhupf'!$F:$F)</f>
        <v/>
      </c>
      <c r="I305" s="27">
        <f>SUMIF('Lucia'!$A:$A,$B305,'Lucia'!$F:$F)</f>
        <v/>
      </c>
      <c r="J305" s="27">
        <f>SUMIF('Bar'!$A:$A,$B305,'Bar'!$F:$F)</f>
        <v/>
      </c>
      <c r="K305" s="28">
        <f>SUM(E305:J305)</f>
        <v/>
      </c>
    </row>
    <row r="306">
      <c r="A306" s="15">
        <f>IF(Artikelstamm!$A306="","",Artikelstamm!$A306)</f>
        <v/>
      </c>
      <c r="B306" s="17">
        <f>IF(Artikelstamm!$B306="","",Artikelstamm!$B306)</f>
        <v/>
      </c>
      <c r="C306" s="17">
        <f>IF(Artikelstamm!$C306="","",Artikelstamm!$C306)</f>
        <v/>
      </c>
      <c r="D306" s="15">
        <f>IF(Artikelstamm!$E306="","",Artikelstamm!$E306)</f>
        <v/>
      </c>
      <c r="E306" s="29">
        <f>SUMIF('Hauptmagazin'!$A:$A,$B306,'Hauptmagazin'!$F:$F)</f>
        <v/>
      </c>
      <c r="F306" s="29">
        <f>SUMIF('Panorama'!$A:$A,$B306,'Panorama'!$F:$F)</f>
        <v/>
      </c>
      <c r="G306" s="29">
        <f>SUMIF('Kachelofen'!$A:$A,$B306,'Kachelofen'!$F:$F)</f>
        <v/>
      </c>
      <c r="H306" s="29">
        <f>SUMIF('Gugelhupf'!$A:$A,$B306,'Gugelhupf'!$F:$F)</f>
        <v/>
      </c>
      <c r="I306" s="29">
        <f>SUMIF('Lucia'!$A:$A,$B306,'Lucia'!$F:$F)</f>
        <v/>
      </c>
      <c r="J306" s="29">
        <f>SUMIF('Bar'!$A:$A,$B306,'Bar'!$F:$F)</f>
        <v/>
      </c>
      <c r="K306" s="30">
        <f>SUM(E306:J306)</f>
        <v/>
      </c>
    </row>
    <row r="307">
      <c r="A307" s="12">
        <f>IF(Artikelstamm!$A307="","",Artikelstamm!$A307)</f>
        <v/>
      </c>
      <c r="B307" s="14">
        <f>IF(Artikelstamm!$B307="","",Artikelstamm!$B307)</f>
        <v/>
      </c>
      <c r="C307" s="14">
        <f>IF(Artikelstamm!$C307="","",Artikelstamm!$C307)</f>
        <v/>
      </c>
      <c r="D307" s="12">
        <f>IF(Artikelstamm!$E307="","",Artikelstamm!$E307)</f>
        <v/>
      </c>
      <c r="E307" s="27">
        <f>SUMIF('Hauptmagazin'!$A:$A,$B307,'Hauptmagazin'!$F:$F)</f>
        <v/>
      </c>
      <c r="F307" s="27">
        <f>SUMIF('Panorama'!$A:$A,$B307,'Panorama'!$F:$F)</f>
        <v/>
      </c>
      <c r="G307" s="27">
        <f>SUMIF('Kachelofen'!$A:$A,$B307,'Kachelofen'!$F:$F)</f>
        <v/>
      </c>
      <c r="H307" s="27">
        <f>SUMIF('Gugelhupf'!$A:$A,$B307,'Gugelhupf'!$F:$F)</f>
        <v/>
      </c>
      <c r="I307" s="27">
        <f>SUMIF('Lucia'!$A:$A,$B307,'Lucia'!$F:$F)</f>
        <v/>
      </c>
      <c r="J307" s="27">
        <f>SUMIF('Bar'!$A:$A,$B307,'Bar'!$F:$F)</f>
        <v/>
      </c>
      <c r="K307" s="28">
        <f>SUM(E307:J307)</f>
        <v/>
      </c>
    </row>
    <row r="308">
      <c r="A308" s="15">
        <f>IF(Artikelstamm!$A308="","",Artikelstamm!$A308)</f>
        <v/>
      </c>
      <c r="B308" s="17">
        <f>IF(Artikelstamm!$B308="","",Artikelstamm!$B308)</f>
        <v/>
      </c>
      <c r="C308" s="17">
        <f>IF(Artikelstamm!$C308="","",Artikelstamm!$C308)</f>
        <v/>
      </c>
      <c r="D308" s="15">
        <f>IF(Artikelstamm!$E308="","",Artikelstamm!$E308)</f>
        <v/>
      </c>
      <c r="E308" s="29">
        <f>SUMIF('Hauptmagazin'!$A:$A,$B308,'Hauptmagazin'!$F:$F)</f>
        <v/>
      </c>
      <c r="F308" s="29">
        <f>SUMIF('Panorama'!$A:$A,$B308,'Panorama'!$F:$F)</f>
        <v/>
      </c>
      <c r="G308" s="29">
        <f>SUMIF('Kachelofen'!$A:$A,$B308,'Kachelofen'!$F:$F)</f>
        <v/>
      </c>
      <c r="H308" s="29">
        <f>SUMIF('Gugelhupf'!$A:$A,$B308,'Gugelhupf'!$F:$F)</f>
        <v/>
      </c>
      <c r="I308" s="29">
        <f>SUMIF('Lucia'!$A:$A,$B308,'Lucia'!$F:$F)</f>
        <v/>
      </c>
      <c r="J308" s="29">
        <f>SUMIF('Bar'!$A:$A,$B308,'Bar'!$F:$F)</f>
        <v/>
      </c>
      <c r="K308" s="30">
        <f>SUM(E308:J308)</f>
        <v/>
      </c>
    </row>
    <row r="309">
      <c r="A309" s="12">
        <f>IF(Artikelstamm!$A309="","",Artikelstamm!$A309)</f>
        <v/>
      </c>
      <c r="B309" s="14">
        <f>IF(Artikelstamm!$B309="","",Artikelstamm!$B309)</f>
        <v/>
      </c>
      <c r="C309" s="14">
        <f>IF(Artikelstamm!$C309="","",Artikelstamm!$C309)</f>
        <v/>
      </c>
      <c r="D309" s="12">
        <f>IF(Artikelstamm!$E309="","",Artikelstamm!$E309)</f>
        <v/>
      </c>
      <c r="E309" s="27">
        <f>SUMIF('Hauptmagazin'!$A:$A,$B309,'Hauptmagazin'!$F:$F)</f>
        <v/>
      </c>
      <c r="F309" s="27">
        <f>SUMIF('Panorama'!$A:$A,$B309,'Panorama'!$F:$F)</f>
        <v/>
      </c>
      <c r="G309" s="27">
        <f>SUMIF('Kachelofen'!$A:$A,$B309,'Kachelofen'!$F:$F)</f>
        <v/>
      </c>
      <c r="H309" s="27">
        <f>SUMIF('Gugelhupf'!$A:$A,$B309,'Gugelhupf'!$F:$F)</f>
        <v/>
      </c>
      <c r="I309" s="27">
        <f>SUMIF('Lucia'!$A:$A,$B309,'Lucia'!$F:$F)</f>
        <v/>
      </c>
      <c r="J309" s="27">
        <f>SUMIF('Bar'!$A:$A,$B309,'Bar'!$F:$F)</f>
        <v/>
      </c>
      <c r="K309" s="28">
        <f>SUM(E309:J309)</f>
        <v/>
      </c>
    </row>
    <row r="310">
      <c r="A310" s="15">
        <f>IF(Artikelstamm!$A310="","",Artikelstamm!$A310)</f>
        <v/>
      </c>
      <c r="B310" s="17">
        <f>IF(Artikelstamm!$B310="","",Artikelstamm!$B310)</f>
        <v/>
      </c>
      <c r="C310" s="17">
        <f>IF(Artikelstamm!$C310="","",Artikelstamm!$C310)</f>
        <v/>
      </c>
      <c r="D310" s="15">
        <f>IF(Artikelstamm!$E310="","",Artikelstamm!$E310)</f>
        <v/>
      </c>
      <c r="E310" s="29">
        <f>SUMIF('Hauptmagazin'!$A:$A,$B310,'Hauptmagazin'!$F:$F)</f>
        <v/>
      </c>
      <c r="F310" s="29">
        <f>SUMIF('Panorama'!$A:$A,$B310,'Panorama'!$F:$F)</f>
        <v/>
      </c>
      <c r="G310" s="29">
        <f>SUMIF('Kachelofen'!$A:$A,$B310,'Kachelofen'!$F:$F)</f>
        <v/>
      </c>
      <c r="H310" s="29">
        <f>SUMIF('Gugelhupf'!$A:$A,$B310,'Gugelhupf'!$F:$F)</f>
        <v/>
      </c>
      <c r="I310" s="29">
        <f>SUMIF('Lucia'!$A:$A,$B310,'Lucia'!$F:$F)</f>
        <v/>
      </c>
      <c r="J310" s="29">
        <f>SUMIF('Bar'!$A:$A,$B310,'Bar'!$F:$F)</f>
        <v/>
      </c>
      <c r="K310" s="30">
        <f>SUM(E310:J310)</f>
        <v/>
      </c>
    </row>
    <row r="311">
      <c r="A311" s="12">
        <f>IF(Artikelstamm!$A311="","",Artikelstamm!$A311)</f>
        <v/>
      </c>
      <c r="B311" s="14">
        <f>IF(Artikelstamm!$B311="","",Artikelstamm!$B311)</f>
        <v/>
      </c>
      <c r="C311" s="14">
        <f>IF(Artikelstamm!$C311="","",Artikelstamm!$C311)</f>
        <v/>
      </c>
      <c r="D311" s="12">
        <f>IF(Artikelstamm!$E311="","",Artikelstamm!$E311)</f>
        <v/>
      </c>
      <c r="E311" s="27">
        <f>SUMIF('Hauptmagazin'!$A:$A,$B311,'Hauptmagazin'!$F:$F)</f>
        <v/>
      </c>
      <c r="F311" s="27">
        <f>SUMIF('Panorama'!$A:$A,$B311,'Panorama'!$F:$F)</f>
        <v/>
      </c>
      <c r="G311" s="27">
        <f>SUMIF('Kachelofen'!$A:$A,$B311,'Kachelofen'!$F:$F)</f>
        <v/>
      </c>
      <c r="H311" s="27">
        <f>SUMIF('Gugelhupf'!$A:$A,$B311,'Gugelhupf'!$F:$F)</f>
        <v/>
      </c>
      <c r="I311" s="27">
        <f>SUMIF('Lucia'!$A:$A,$B311,'Lucia'!$F:$F)</f>
        <v/>
      </c>
      <c r="J311" s="27">
        <f>SUMIF('Bar'!$A:$A,$B311,'Bar'!$F:$F)</f>
        <v/>
      </c>
      <c r="K311" s="28">
        <f>SUM(E311:J311)</f>
        <v/>
      </c>
    </row>
    <row r="312">
      <c r="A312" s="15">
        <f>IF(Artikelstamm!$A312="","",Artikelstamm!$A312)</f>
        <v/>
      </c>
      <c r="B312" s="17">
        <f>IF(Artikelstamm!$B312="","",Artikelstamm!$B312)</f>
        <v/>
      </c>
      <c r="C312" s="17">
        <f>IF(Artikelstamm!$C312="","",Artikelstamm!$C312)</f>
        <v/>
      </c>
      <c r="D312" s="15">
        <f>IF(Artikelstamm!$E312="","",Artikelstamm!$E312)</f>
        <v/>
      </c>
      <c r="E312" s="29">
        <f>SUMIF('Hauptmagazin'!$A:$A,$B312,'Hauptmagazin'!$F:$F)</f>
        <v/>
      </c>
      <c r="F312" s="29">
        <f>SUMIF('Panorama'!$A:$A,$B312,'Panorama'!$F:$F)</f>
        <v/>
      </c>
      <c r="G312" s="29">
        <f>SUMIF('Kachelofen'!$A:$A,$B312,'Kachelofen'!$F:$F)</f>
        <v/>
      </c>
      <c r="H312" s="29">
        <f>SUMIF('Gugelhupf'!$A:$A,$B312,'Gugelhupf'!$F:$F)</f>
        <v/>
      </c>
      <c r="I312" s="29">
        <f>SUMIF('Lucia'!$A:$A,$B312,'Lucia'!$F:$F)</f>
        <v/>
      </c>
      <c r="J312" s="29">
        <f>SUMIF('Bar'!$A:$A,$B312,'Bar'!$F:$F)</f>
        <v/>
      </c>
      <c r="K312" s="30">
        <f>SUM(E312:J312)</f>
        <v/>
      </c>
    </row>
    <row r="313">
      <c r="A313" s="12">
        <f>IF(Artikelstamm!$A313="","",Artikelstamm!$A313)</f>
        <v/>
      </c>
      <c r="B313" s="14">
        <f>IF(Artikelstamm!$B313="","",Artikelstamm!$B313)</f>
        <v/>
      </c>
      <c r="C313" s="14">
        <f>IF(Artikelstamm!$C313="","",Artikelstamm!$C313)</f>
        <v/>
      </c>
      <c r="D313" s="12">
        <f>IF(Artikelstamm!$E313="","",Artikelstamm!$E313)</f>
        <v/>
      </c>
      <c r="E313" s="27">
        <f>SUMIF('Hauptmagazin'!$A:$A,$B313,'Hauptmagazin'!$F:$F)</f>
        <v/>
      </c>
      <c r="F313" s="27">
        <f>SUMIF('Panorama'!$A:$A,$B313,'Panorama'!$F:$F)</f>
        <v/>
      </c>
      <c r="G313" s="27">
        <f>SUMIF('Kachelofen'!$A:$A,$B313,'Kachelofen'!$F:$F)</f>
        <v/>
      </c>
      <c r="H313" s="27">
        <f>SUMIF('Gugelhupf'!$A:$A,$B313,'Gugelhupf'!$F:$F)</f>
        <v/>
      </c>
      <c r="I313" s="27">
        <f>SUMIF('Lucia'!$A:$A,$B313,'Lucia'!$F:$F)</f>
        <v/>
      </c>
      <c r="J313" s="27">
        <f>SUMIF('Bar'!$A:$A,$B313,'Bar'!$F:$F)</f>
        <v/>
      </c>
      <c r="K313" s="28">
        <f>SUM(E313:J313)</f>
        <v/>
      </c>
    </row>
    <row r="314">
      <c r="A314" s="15">
        <f>IF(Artikelstamm!$A314="","",Artikelstamm!$A314)</f>
        <v/>
      </c>
      <c r="B314" s="17">
        <f>IF(Artikelstamm!$B314="","",Artikelstamm!$B314)</f>
        <v/>
      </c>
      <c r="C314" s="17">
        <f>IF(Artikelstamm!$C314="","",Artikelstamm!$C314)</f>
        <v/>
      </c>
      <c r="D314" s="15">
        <f>IF(Artikelstamm!$E314="","",Artikelstamm!$E314)</f>
        <v/>
      </c>
      <c r="E314" s="29">
        <f>SUMIF('Hauptmagazin'!$A:$A,$B314,'Hauptmagazin'!$F:$F)</f>
        <v/>
      </c>
      <c r="F314" s="29">
        <f>SUMIF('Panorama'!$A:$A,$B314,'Panorama'!$F:$F)</f>
        <v/>
      </c>
      <c r="G314" s="29">
        <f>SUMIF('Kachelofen'!$A:$A,$B314,'Kachelofen'!$F:$F)</f>
        <v/>
      </c>
      <c r="H314" s="29">
        <f>SUMIF('Gugelhupf'!$A:$A,$B314,'Gugelhupf'!$F:$F)</f>
        <v/>
      </c>
      <c r="I314" s="29">
        <f>SUMIF('Lucia'!$A:$A,$B314,'Lucia'!$F:$F)</f>
        <v/>
      </c>
      <c r="J314" s="29">
        <f>SUMIF('Bar'!$A:$A,$B314,'Bar'!$F:$F)</f>
        <v/>
      </c>
      <c r="K314" s="30">
        <f>SUM(E314:J314)</f>
        <v/>
      </c>
    </row>
    <row r="315">
      <c r="A315" s="12">
        <f>IF(Artikelstamm!$A315="","",Artikelstamm!$A315)</f>
        <v/>
      </c>
      <c r="B315" s="14">
        <f>IF(Artikelstamm!$B315="","",Artikelstamm!$B315)</f>
        <v/>
      </c>
      <c r="C315" s="14">
        <f>IF(Artikelstamm!$C315="","",Artikelstamm!$C315)</f>
        <v/>
      </c>
      <c r="D315" s="12">
        <f>IF(Artikelstamm!$E315="","",Artikelstamm!$E315)</f>
        <v/>
      </c>
      <c r="E315" s="27">
        <f>SUMIF('Hauptmagazin'!$A:$A,$B315,'Hauptmagazin'!$F:$F)</f>
        <v/>
      </c>
      <c r="F315" s="27">
        <f>SUMIF('Panorama'!$A:$A,$B315,'Panorama'!$F:$F)</f>
        <v/>
      </c>
      <c r="G315" s="27">
        <f>SUMIF('Kachelofen'!$A:$A,$B315,'Kachelofen'!$F:$F)</f>
        <v/>
      </c>
      <c r="H315" s="27">
        <f>SUMIF('Gugelhupf'!$A:$A,$B315,'Gugelhupf'!$F:$F)</f>
        <v/>
      </c>
      <c r="I315" s="27">
        <f>SUMIF('Lucia'!$A:$A,$B315,'Lucia'!$F:$F)</f>
        <v/>
      </c>
      <c r="J315" s="27">
        <f>SUMIF('Bar'!$A:$A,$B315,'Bar'!$F:$F)</f>
        <v/>
      </c>
      <c r="K315" s="28">
        <f>SUM(E315:J315)</f>
        <v/>
      </c>
    </row>
    <row r="316">
      <c r="A316" s="15">
        <f>IF(Artikelstamm!$A316="","",Artikelstamm!$A316)</f>
        <v/>
      </c>
      <c r="B316" s="17">
        <f>IF(Artikelstamm!$B316="","",Artikelstamm!$B316)</f>
        <v/>
      </c>
      <c r="C316" s="17">
        <f>IF(Artikelstamm!$C316="","",Artikelstamm!$C316)</f>
        <v/>
      </c>
      <c r="D316" s="15">
        <f>IF(Artikelstamm!$E316="","",Artikelstamm!$E316)</f>
        <v/>
      </c>
      <c r="E316" s="29">
        <f>SUMIF('Hauptmagazin'!$A:$A,$B316,'Hauptmagazin'!$F:$F)</f>
        <v/>
      </c>
      <c r="F316" s="29">
        <f>SUMIF('Panorama'!$A:$A,$B316,'Panorama'!$F:$F)</f>
        <v/>
      </c>
      <c r="G316" s="29">
        <f>SUMIF('Kachelofen'!$A:$A,$B316,'Kachelofen'!$F:$F)</f>
        <v/>
      </c>
      <c r="H316" s="29">
        <f>SUMIF('Gugelhupf'!$A:$A,$B316,'Gugelhupf'!$F:$F)</f>
        <v/>
      </c>
      <c r="I316" s="29">
        <f>SUMIF('Lucia'!$A:$A,$B316,'Lucia'!$F:$F)</f>
        <v/>
      </c>
      <c r="J316" s="29">
        <f>SUMIF('Bar'!$A:$A,$B316,'Bar'!$F:$F)</f>
        <v/>
      </c>
      <c r="K316" s="30">
        <f>SUM(E316:J316)</f>
        <v/>
      </c>
    </row>
    <row r="317">
      <c r="A317" s="12">
        <f>IF(Artikelstamm!$A317="","",Artikelstamm!$A317)</f>
        <v/>
      </c>
      <c r="B317" s="14">
        <f>IF(Artikelstamm!$B317="","",Artikelstamm!$B317)</f>
        <v/>
      </c>
      <c r="C317" s="14">
        <f>IF(Artikelstamm!$C317="","",Artikelstamm!$C317)</f>
        <v/>
      </c>
      <c r="D317" s="12">
        <f>IF(Artikelstamm!$E317="","",Artikelstamm!$E317)</f>
        <v/>
      </c>
      <c r="E317" s="27">
        <f>SUMIF('Hauptmagazin'!$A:$A,$B317,'Hauptmagazin'!$F:$F)</f>
        <v/>
      </c>
      <c r="F317" s="27">
        <f>SUMIF('Panorama'!$A:$A,$B317,'Panorama'!$F:$F)</f>
        <v/>
      </c>
      <c r="G317" s="27">
        <f>SUMIF('Kachelofen'!$A:$A,$B317,'Kachelofen'!$F:$F)</f>
        <v/>
      </c>
      <c r="H317" s="27">
        <f>SUMIF('Gugelhupf'!$A:$A,$B317,'Gugelhupf'!$F:$F)</f>
        <v/>
      </c>
      <c r="I317" s="27">
        <f>SUMIF('Lucia'!$A:$A,$B317,'Lucia'!$F:$F)</f>
        <v/>
      </c>
      <c r="J317" s="27">
        <f>SUMIF('Bar'!$A:$A,$B317,'Bar'!$F:$F)</f>
        <v/>
      </c>
      <c r="K317" s="28">
        <f>SUM(E317:J317)</f>
        <v/>
      </c>
    </row>
    <row r="318">
      <c r="A318" s="15">
        <f>IF(Artikelstamm!$A318="","",Artikelstamm!$A318)</f>
        <v/>
      </c>
      <c r="B318" s="17">
        <f>IF(Artikelstamm!$B318="","",Artikelstamm!$B318)</f>
        <v/>
      </c>
      <c r="C318" s="17">
        <f>IF(Artikelstamm!$C318="","",Artikelstamm!$C318)</f>
        <v/>
      </c>
      <c r="D318" s="15">
        <f>IF(Artikelstamm!$E318="","",Artikelstamm!$E318)</f>
        <v/>
      </c>
      <c r="E318" s="29">
        <f>SUMIF('Hauptmagazin'!$A:$A,$B318,'Hauptmagazin'!$F:$F)</f>
        <v/>
      </c>
      <c r="F318" s="29">
        <f>SUMIF('Panorama'!$A:$A,$B318,'Panorama'!$F:$F)</f>
        <v/>
      </c>
      <c r="G318" s="29">
        <f>SUMIF('Kachelofen'!$A:$A,$B318,'Kachelofen'!$F:$F)</f>
        <v/>
      </c>
      <c r="H318" s="29">
        <f>SUMIF('Gugelhupf'!$A:$A,$B318,'Gugelhupf'!$F:$F)</f>
        <v/>
      </c>
      <c r="I318" s="29">
        <f>SUMIF('Lucia'!$A:$A,$B318,'Lucia'!$F:$F)</f>
        <v/>
      </c>
      <c r="J318" s="29">
        <f>SUMIF('Bar'!$A:$A,$B318,'Bar'!$F:$F)</f>
        <v/>
      </c>
      <c r="K318" s="30">
        <f>SUM(E318:J318)</f>
        <v/>
      </c>
    </row>
    <row r="319">
      <c r="A319" s="12">
        <f>IF(Artikelstamm!$A319="","",Artikelstamm!$A319)</f>
        <v/>
      </c>
      <c r="B319" s="14">
        <f>IF(Artikelstamm!$B319="","",Artikelstamm!$B319)</f>
        <v/>
      </c>
      <c r="C319" s="14">
        <f>IF(Artikelstamm!$C319="","",Artikelstamm!$C319)</f>
        <v/>
      </c>
      <c r="D319" s="12">
        <f>IF(Artikelstamm!$E319="","",Artikelstamm!$E319)</f>
        <v/>
      </c>
      <c r="E319" s="27">
        <f>SUMIF('Hauptmagazin'!$A:$A,$B319,'Hauptmagazin'!$F:$F)</f>
        <v/>
      </c>
      <c r="F319" s="27">
        <f>SUMIF('Panorama'!$A:$A,$B319,'Panorama'!$F:$F)</f>
        <v/>
      </c>
      <c r="G319" s="27">
        <f>SUMIF('Kachelofen'!$A:$A,$B319,'Kachelofen'!$F:$F)</f>
        <v/>
      </c>
      <c r="H319" s="27">
        <f>SUMIF('Gugelhupf'!$A:$A,$B319,'Gugelhupf'!$F:$F)</f>
        <v/>
      </c>
      <c r="I319" s="27">
        <f>SUMIF('Lucia'!$A:$A,$B319,'Lucia'!$F:$F)</f>
        <v/>
      </c>
      <c r="J319" s="27">
        <f>SUMIF('Bar'!$A:$A,$B319,'Bar'!$F:$F)</f>
        <v/>
      </c>
      <c r="K319" s="28">
        <f>SUM(E319:J319)</f>
        <v/>
      </c>
    </row>
    <row r="320">
      <c r="A320" s="15">
        <f>IF(Artikelstamm!$A320="","",Artikelstamm!$A320)</f>
        <v/>
      </c>
      <c r="B320" s="17">
        <f>IF(Artikelstamm!$B320="","",Artikelstamm!$B320)</f>
        <v/>
      </c>
      <c r="C320" s="17">
        <f>IF(Artikelstamm!$C320="","",Artikelstamm!$C320)</f>
        <v/>
      </c>
      <c r="D320" s="15">
        <f>IF(Artikelstamm!$E320="","",Artikelstamm!$E320)</f>
        <v/>
      </c>
      <c r="E320" s="29">
        <f>SUMIF('Hauptmagazin'!$A:$A,$B320,'Hauptmagazin'!$F:$F)</f>
        <v/>
      </c>
      <c r="F320" s="29">
        <f>SUMIF('Panorama'!$A:$A,$B320,'Panorama'!$F:$F)</f>
        <v/>
      </c>
      <c r="G320" s="29">
        <f>SUMIF('Kachelofen'!$A:$A,$B320,'Kachelofen'!$F:$F)</f>
        <v/>
      </c>
      <c r="H320" s="29">
        <f>SUMIF('Gugelhupf'!$A:$A,$B320,'Gugelhupf'!$F:$F)</f>
        <v/>
      </c>
      <c r="I320" s="29">
        <f>SUMIF('Lucia'!$A:$A,$B320,'Lucia'!$F:$F)</f>
        <v/>
      </c>
      <c r="J320" s="29">
        <f>SUMIF('Bar'!$A:$A,$B320,'Bar'!$F:$F)</f>
        <v/>
      </c>
      <c r="K320" s="30">
        <f>SUM(E320:J320)</f>
        <v/>
      </c>
    </row>
    <row r="321">
      <c r="A321" s="12">
        <f>IF(Artikelstamm!$A321="","",Artikelstamm!$A321)</f>
        <v/>
      </c>
      <c r="B321" s="14">
        <f>IF(Artikelstamm!$B321="","",Artikelstamm!$B321)</f>
        <v/>
      </c>
      <c r="C321" s="14">
        <f>IF(Artikelstamm!$C321="","",Artikelstamm!$C321)</f>
        <v/>
      </c>
      <c r="D321" s="12">
        <f>IF(Artikelstamm!$E321="","",Artikelstamm!$E321)</f>
        <v/>
      </c>
      <c r="E321" s="27">
        <f>SUMIF('Hauptmagazin'!$A:$A,$B321,'Hauptmagazin'!$F:$F)</f>
        <v/>
      </c>
      <c r="F321" s="27">
        <f>SUMIF('Panorama'!$A:$A,$B321,'Panorama'!$F:$F)</f>
        <v/>
      </c>
      <c r="G321" s="27">
        <f>SUMIF('Kachelofen'!$A:$A,$B321,'Kachelofen'!$F:$F)</f>
        <v/>
      </c>
      <c r="H321" s="27">
        <f>SUMIF('Gugelhupf'!$A:$A,$B321,'Gugelhupf'!$F:$F)</f>
        <v/>
      </c>
      <c r="I321" s="27">
        <f>SUMIF('Lucia'!$A:$A,$B321,'Lucia'!$F:$F)</f>
        <v/>
      </c>
      <c r="J321" s="27">
        <f>SUMIF('Bar'!$A:$A,$B321,'Bar'!$F:$F)</f>
        <v/>
      </c>
      <c r="K321" s="28">
        <f>SUM(E321:J321)</f>
        <v/>
      </c>
    </row>
    <row r="322">
      <c r="A322" s="15">
        <f>IF(Artikelstamm!$A322="","",Artikelstamm!$A322)</f>
        <v/>
      </c>
      <c r="B322" s="17">
        <f>IF(Artikelstamm!$B322="","",Artikelstamm!$B322)</f>
        <v/>
      </c>
      <c r="C322" s="17">
        <f>IF(Artikelstamm!$C322="","",Artikelstamm!$C322)</f>
        <v/>
      </c>
      <c r="D322" s="15">
        <f>IF(Artikelstamm!$E322="","",Artikelstamm!$E322)</f>
        <v/>
      </c>
      <c r="E322" s="29">
        <f>SUMIF('Hauptmagazin'!$A:$A,$B322,'Hauptmagazin'!$F:$F)</f>
        <v/>
      </c>
      <c r="F322" s="29">
        <f>SUMIF('Panorama'!$A:$A,$B322,'Panorama'!$F:$F)</f>
        <v/>
      </c>
      <c r="G322" s="29">
        <f>SUMIF('Kachelofen'!$A:$A,$B322,'Kachelofen'!$F:$F)</f>
        <v/>
      </c>
      <c r="H322" s="29">
        <f>SUMIF('Gugelhupf'!$A:$A,$B322,'Gugelhupf'!$F:$F)</f>
        <v/>
      </c>
      <c r="I322" s="29">
        <f>SUMIF('Lucia'!$A:$A,$B322,'Lucia'!$F:$F)</f>
        <v/>
      </c>
      <c r="J322" s="29">
        <f>SUMIF('Bar'!$A:$A,$B322,'Bar'!$F:$F)</f>
        <v/>
      </c>
      <c r="K322" s="30">
        <f>SUM(E322:J322)</f>
        <v/>
      </c>
    </row>
    <row r="323">
      <c r="A323" s="12">
        <f>IF(Artikelstamm!$A323="","",Artikelstamm!$A323)</f>
        <v/>
      </c>
      <c r="B323" s="14">
        <f>IF(Artikelstamm!$B323="","",Artikelstamm!$B323)</f>
        <v/>
      </c>
      <c r="C323" s="14">
        <f>IF(Artikelstamm!$C323="","",Artikelstamm!$C323)</f>
        <v/>
      </c>
      <c r="D323" s="12">
        <f>IF(Artikelstamm!$E323="","",Artikelstamm!$E323)</f>
        <v/>
      </c>
      <c r="E323" s="27">
        <f>SUMIF('Hauptmagazin'!$A:$A,$B323,'Hauptmagazin'!$F:$F)</f>
        <v/>
      </c>
      <c r="F323" s="27">
        <f>SUMIF('Panorama'!$A:$A,$B323,'Panorama'!$F:$F)</f>
        <v/>
      </c>
      <c r="G323" s="27">
        <f>SUMIF('Kachelofen'!$A:$A,$B323,'Kachelofen'!$F:$F)</f>
        <v/>
      </c>
      <c r="H323" s="27">
        <f>SUMIF('Gugelhupf'!$A:$A,$B323,'Gugelhupf'!$F:$F)</f>
        <v/>
      </c>
      <c r="I323" s="27">
        <f>SUMIF('Lucia'!$A:$A,$B323,'Lucia'!$F:$F)</f>
        <v/>
      </c>
      <c r="J323" s="27">
        <f>SUMIF('Bar'!$A:$A,$B323,'Bar'!$F:$F)</f>
        <v/>
      </c>
      <c r="K323" s="28">
        <f>SUM(E323:J323)</f>
        <v/>
      </c>
    </row>
    <row r="324">
      <c r="A324" s="15">
        <f>IF(Artikelstamm!$A324="","",Artikelstamm!$A324)</f>
        <v/>
      </c>
      <c r="B324" s="17">
        <f>IF(Artikelstamm!$B324="","",Artikelstamm!$B324)</f>
        <v/>
      </c>
      <c r="C324" s="17">
        <f>IF(Artikelstamm!$C324="","",Artikelstamm!$C324)</f>
        <v/>
      </c>
      <c r="D324" s="15">
        <f>IF(Artikelstamm!$E324="","",Artikelstamm!$E324)</f>
        <v/>
      </c>
      <c r="E324" s="29">
        <f>SUMIF('Hauptmagazin'!$A:$A,$B324,'Hauptmagazin'!$F:$F)</f>
        <v/>
      </c>
      <c r="F324" s="29">
        <f>SUMIF('Panorama'!$A:$A,$B324,'Panorama'!$F:$F)</f>
        <v/>
      </c>
      <c r="G324" s="29">
        <f>SUMIF('Kachelofen'!$A:$A,$B324,'Kachelofen'!$F:$F)</f>
        <v/>
      </c>
      <c r="H324" s="29">
        <f>SUMIF('Gugelhupf'!$A:$A,$B324,'Gugelhupf'!$F:$F)</f>
        <v/>
      </c>
      <c r="I324" s="29">
        <f>SUMIF('Lucia'!$A:$A,$B324,'Lucia'!$F:$F)</f>
        <v/>
      </c>
      <c r="J324" s="29">
        <f>SUMIF('Bar'!$A:$A,$B324,'Bar'!$F:$F)</f>
        <v/>
      </c>
      <c r="K324" s="30">
        <f>SUM(E324:J324)</f>
        <v/>
      </c>
    </row>
    <row r="325">
      <c r="A325" s="12">
        <f>IF(Artikelstamm!$A325="","",Artikelstamm!$A325)</f>
        <v/>
      </c>
      <c r="B325" s="14">
        <f>IF(Artikelstamm!$B325="","",Artikelstamm!$B325)</f>
        <v/>
      </c>
      <c r="C325" s="14">
        <f>IF(Artikelstamm!$C325="","",Artikelstamm!$C325)</f>
        <v/>
      </c>
      <c r="D325" s="12">
        <f>IF(Artikelstamm!$E325="","",Artikelstamm!$E325)</f>
        <v/>
      </c>
      <c r="E325" s="27">
        <f>SUMIF('Hauptmagazin'!$A:$A,$B325,'Hauptmagazin'!$F:$F)</f>
        <v/>
      </c>
      <c r="F325" s="27">
        <f>SUMIF('Panorama'!$A:$A,$B325,'Panorama'!$F:$F)</f>
        <v/>
      </c>
      <c r="G325" s="27">
        <f>SUMIF('Kachelofen'!$A:$A,$B325,'Kachelofen'!$F:$F)</f>
        <v/>
      </c>
      <c r="H325" s="27">
        <f>SUMIF('Gugelhupf'!$A:$A,$B325,'Gugelhupf'!$F:$F)</f>
        <v/>
      </c>
      <c r="I325" s="27">
        <f>SUMIF('Lucia'!$A:$A,$B325,'Lucia'!$F:$F)</f>
        <v/>
      </c>
      <c r="J325" s="27">
        <f>SUMIF('Bar'!$A:$A,$B325,'Bar'!$F:$F)</f>
        <v/>
      </c>
      <c r="K325" s="28">
        <f>SUM(E325:J325)</f>
        <v/>
      </c>
    </row>
    <row r="326">
      <c r="A326" s="15">
        <f>IF(Artikelstamm!$A326="","",Artikelstamm!$A326)</f>
        <v/>
      </c>
      <c r="B326" s="17">
        <f>IF(Artikelstamm!$B326="","",Artikelstamm!$B326)</f>
        <v/>
      </c>
      <c r="C326" s="17">
        <f>IF(Artikelstamm!$C326="","",Artikelstamm!$C326)</f>
        <v/>
      </c>
      <c r="D326" s="15">
        <f>IF(Artikelstamm!$E326="","",Artikelstamm!$E326)</f>
        <v/>
      </c>
      <c r="E326" s="29">
        <f>SUMIF('Hauptmagazin'!$A:$A,$B326,'Hauptmagazin'!$F:$F)</f>
        <v/>
      </c>
      <c r="F326" s="29">
        <f>SUMIF('Panorama'!$A:$A,$B326,'Panorama'!$F:$F)</f>
        <v/>
      </c>
      <c r="G326" s="29">
        <f>SUMIF('Kachelofen'!$A:$A,$B326,'Kachelofen'!$F:$F)</f>
        <v/>
      </c>
      <c r="H326" s="29">
        <f>SUMIF('Gugelhupf'!$A:$A,$B326,'Gugelhupf'!$F:$F)</f>
        <v/>
      </c>
      <c r="I326" s="29">
        <f>SUMIF('Lucia'!$A:$A,$B326,'Lucia'!$F:$F)</f>
        <v/>
      </c>
      <c r="J326" s="29">
        <f>SUMIF('Bar'!$A:$A,$B326,'Bar'!$F:$F)</f>
        <v/>
      </c>
      <c r="K326" s="30">
        <f>SUM(E326:J326)</f>
        <v/>
      </c>
    </row>
    <row r="327">
      <c r="A327" s="12">
        <f>IF(Artikelstamm!$A327="","",Artikelstamm!$A327)</f>
        <v/>
      </c>
      <c r="B327" s="14">
        <f>IF(Artikelstamm!$B327="","",Artikelstamm!$B327)</f>
        <v/>
      </c>
      <c r="C327" s="14">
        <f>IF(Artikelstamm!$C327="","",Artikelstamm!$C327)</f>
        <v/>
      </c>
      <c r="D327" s="12">
        <f>IF(Artikelstamm!$E327="","",Artikelstamm!$E327)</f>
        <v/>
      </c>
      <c r="E327" s="27">
        <f>SUMIF('Hauptmagazin'!$A:$A,$B327,'Hauptmagazin'!$F:$F)</f>
        <v/>
      </c>
      <c r="F327" s="27">
        <f>SUMIF('Panorama'!$A:$A,$B327,'Panorama'!$F:$F)</f>
        <v/>
      </c>
      <c r="G327" s="27">
        <f>SUMIF('Kachelofen'!$A:$A,$B327,'Kachelofen'!$F:$F)</f>
        <v/>
      </c>
      <c r="H327" s="27">
        <f>SUMIF('Gugelhupf'!$A:$A,$B327,'Gugelhupf'!$F:$F)</f>
        <v/>
      </c>
      <c r="I327" s="27">
        <f>SUMIF('Lucia'!$A:$A,$B327,'Lucia'!$F:$F)</f>
        <v/>
      </c>
      <c r="J327" s="27">
        <f>SUMIF('Bar'!$A:$A,$B327,'Bar'!$F:$F)</f>
        <v/>
      </c>
      <c r="K327" s="28">
        <f>SUM(E327:J327)</f>
        <v/>
      </c>
    </row>
    <row r="328">
      <c r="A328" s="15">
        <f>IF(Artikelstamm!$A328="","",Artikelstamm!$A328)</f>
        <v/>
      </c>
      <c r="B328" s="17">
        <f>IF(Artikelstamm!$B328="","",Artikelstamm!$B328)</f>
        <v/>
      </c>
      <c r="C328" s="17">
        <f>IF(Artikelstamm!$C328="","",Artikelstamm!$C328)</f>
        <v/>
      </c>
      <c r="D328" s="15">
        <f>IF(Artikelstamm!$E328="","",Artikelstamm!$E328)</f>
        <v/>
      </c>
      <c r="E328" s="29">
        <f>SUMIF('Hauptmagazin'!$A:$A,$B328,'Hauptmagazin'!$F:$F)</f>
        <v/>
      </c>
      <c r="F328" s="29">
        <f>SUMIF('Panorama'!$A:$A,$B328,'Panorama'!$F:$F)</f>
        <v/>
      </c>
      <c r="G328" s="29">
        <f>SUMIF('Kachelofen'!$A:$A,$B328,'Kachelofen'!$F:$F)</f>
        <v/>
      </c>
      <c r="H328" s="29">
        <f>SUMIF('Gugelhupf'!$A:$A,$B328,'Gugelhupf'!$F:$F)</f>
        <v/>
      </c>
      <c r="I328" s="29">
        <f>SUMIF('Lucia'!$A:$A,$B328,'Lucia'!$F:$F)</f>
        <v/>
      </c>
      <c r="J328" s="29">
        <f>SUMIF('Bar'!$A:$A,$B328,'Bar'!$F:$F)</f>
        <v/>
      </c>
      <c r="K328" s="30">
        <f>SUM(E328:J328)</f>
        <v/>
      </c>
    </row>
    <row r="329">
      <c r="A329" s="12">
        <f>IF(Artikelstamm!$A329="","",Artikelstamm!$A329)</f>
        <v/>
      </c>
      <c r="B329" s="14">
        <f>IF(Artikelstamm!$B329="","",Artikelstamm!$B329)</f>
        <v/>
      </c>
      <c r="C329" s="14">
        <f>IF(Artikelstamm!$C329="","",Artikelstamm!$C329)</f>
        <v/>
      </c>
      <c r="D329" s="12">
        <f>IF(Artikelstamm!$E329="","",Artikelstamm!$E329)</f>
        <v/>
      </c>
      <c r="E329" s="27">
        <f>SUMIF('Hauptmagazin'!$A:$A,$B329,'Hauptmagazin'!$F:$F)</f>
        <v/>
      </c>
      <c r="F329" s="27">
        <f>SUMIF('Panorama'!$A:$A,$B329,'Panorama'!$F:$F)</f>
        <v/>
      </c>
      <c r="G329" s="27">
        <f>SUMIF('Kachelofen'!$A:$A,$B329,'Kachelofen'!$F:$F)</f>
        <v/>
      </c>
      <c r="H329" s="27">
        <f>SUMIF('Gugelhupf'!$A:$A,$B329,'Gugelhupf'!$F:$F)</f>
        <v/>
      </c>
      <c r="I329" s="27">
        <f>SUMIF('Lucia'!$A:$A,$B329,'Lucia'!$F:$F)</f>
        <v/>
      </c>
      <c r="J329" s="27">
        <f>SUMIF('Bar'!$A:$A,$B329,'Bar'!$F:$F)</f>
        <v/>
      </c>
      <c r="K329" s="28">
        <f>SUM(E329:J329)</f>
        <v/>
      </c>
    </row>
    <row r="330">
      <c r="A330" s="15">
        <f>IF(Artikelstamm!$A330="","",Artikelstamm!$A330)</f>
        <v/>
      </c>
      <c r="B330" s="17">
        <f>IF(Artikelstamm!$B330="","",Artikelstamm!$B330)</f>
        <v/>
      </c>
      <c r="C330" s="17">
        <f>IF(Artikelstamm!$C330="","",Artikelstamm!$C330)</f>
        <v/>
      </c>
      <c r="D330" s="15">
        <f>IF(Artikelstamm!$E330="","",Artikelstamm!$E330)</f>
        <v/>
      </c>
      <c r="E330" s="29">
        <f>SUMIF('Hauptmagazin'!$A:$A,$B330,'Hauptmagazin'!$F:$F)</f>
        <v/>
      </c>
      <c r="F330" s="29">
        <f>SUMIF('Panorama'!$A:$A,$B330,'Panorama'!$F:$F)</f>
        <v/>
      </c>
      <c r="G330" s="29">
        <f>SUMIF('Kachelofen'!$A:$A,$B330,'Kachelofen'!$F:$F)</f>
        <v/>
      </c>
      <c r="H330" s="29">
        <f>SUMIF('Gugelhupf'!$A:$A,$B330,'Gugelhupf'!$F:$F)</f>
        <v/>
      </c>
      <c r="I330" s="29">
        <f>SUMIF('Lucia'!$A:$A,$B330,'Lucia'!$F:$F)</f>
        <v/>
      </c>
      <c r="J330" s="29">
        <f>SUMIF('Bar'!$A:$A,$B330,'Bar'!$F:$F)</f>
        <v/>
      </c>
      <c r="K330" s="30">
        <f>SUM(E330:J330)</f>
        <v/>
      </c>
    </row>
    <row r="331">
      <c r="A331" s="12">
        <f>IF(Artikelstamm!$A331="","",Artikelstamm!$A331)</f>
        <v/>
      </c>
      <c r="B331" s="14">
        <f>IF(Artikelstamm!$B331="","",Artikelstamm!$B331)</f>
        <v/>
      </c>
      <c r="C331" s="14">
        <f>IF(Artikelstamm!$C331="","",Artikelstamm!$C331)</f>
        <v/>
      </c>
      <c r="D331" s="12">
        <f>IF(Artikelstamm!$E331="","",Artikelstamm!$E331)</f>
        <v/>
      </c>
      <c r="E331" s="27">
        <f>SUMIF('Hauptmagazin'!$A:$A,$B331,'Hauptmagazin'!$F:$F)</f>
        <v/>
      </c>
      <c r="F331" s="27">
        <f>SUMIF('Panorama'!$A:$A,$B331,'Panorama'!$F:$F)</f>
        <v/>
      </c>
      <c r="G331" s="27">
        <f>SUMIF('Kachelofen'!$A:$A,$B331,'Kachelofen'!$F:$F)</f>
        <v/>
      </c>
      <c r="H331" s="27">
        <f>SUMIF('Gugelhupf'!$A:$A,$B331,'Gugelhupf'!$F:$F)</f>
        <v/>
      </c>
      <c r="I331" s="27">
        <f>SUMIF('Lucia'!$A:$A,$B331,'Lucia'!$F:$F)</f>
        <v/>
      </c>
      <c r="J331" s="27">
        <f>SUMIF('Bar'!$A:$A,$B331,'Bar'!$F:$F)</f>
        <v/>
      </c>
      <c r="K331" s="28">
        <f>SUM(E331:J331)</f>
        <v/>
      </c>
    </row>
    <row r="332">
      <c r="A332" s="15">
        <f>IF(Artikelstamm!$A332="","",Artikelstamm!$A332)</f>
        <v/>
      </c>
      <c r="B332" s="17">
        <f>IF(Artikelstamm!$B332="","",Artikelstamm!$B332)</f>
        <v/>
      </c>
      <c r="C332" s="17">
        <f>IF(Artikelstamm!$C332="","",Artikelstamm!$C332)</f>
        <v/>
      </c>
      <c r="D332" s="15">
        <f>IF(Artikelstamm!$E332="","",Artikelstamm!$E332)</f>
        <v/>
      </c>
      <c r="E332" s="29">
        <f>SUMIF('Hauptmagazin'!$A:$A,$B332,'Hauptmagazin'!$F:$F)</f>
        <v/>
      </c>
      <c r="F332" s="29">
        <f>SUMIF('Panorama'!$A:$A,$B332,'Panorama'!$F:$F)</f>
        <v/>
      </c>
      <c r="G332" s="29">
        <f>SUMIF('Kachelofen'!$A:$A,$B332,'Kachelofen'!$F:$F)</f>
        <v/>
      </c>
      <c r="H332" s="29">
        <f>SUMIF('Gugelhupf'!$A:$A,$B332,'Gugelhupf'!$F:$F)</f>
        <v/>
      </c>
      <c r="I332" s="29">
        <f>SUMIF('Lucia'!$A:$A,$B332,'Lucia'!$F:$F)</f>
        <v/>
      </c>
      <c r="J332" s="29">
        <f>SUMIF('Bar'!$A:$A,$B332,'Bar'!$F:$F)</f>
        <v/>
      </c>
      <c r="K332" s="30">
        <f>SUM(E332:J332)</f>
        <v/>
      </c>
    </row>
    <row r="333">
      <c r="A333" s="12">
        <f>IF(Artikelstamm!$A333="","",Artikelstamm!$A333)</f>
        <v/>
      </c>
      <c r="B333" s="14">
        <f>IF(Artikelstamm!$B333="","",Artikelstamm!$B333)</f>
        <v/>
      </c>
      <c r="C333" s="14">
        <f>IF(Artikelstamm!$C333="","",Artikelstamm!$C333)</f>
        <v/>
      </c>
      <c r="D333" s="12">
        <f>IF(Artikelstamm!$E333="","",Artikelstamm!$E333)</f>
        <v/>
      </c>
      <c r="E333" s="27">
        <f>SUMIF('Hauptmagazin'!$A:$A,$B333,'Hauptmagazin'!$F:$F)</f>
        <v/>
      </c>
      <c r="F333" s="27">
        <f>SUMIF('Panorama'!$A:$A,$B333,'Panorama'!$F:$F)</f>
        <v/>
      </c>
      <c r="G333" s="27">
        <f>SUMIF('Kachelofen'!$A:$A,$B333,'Kachelofen'!$F:$F)</f>
        <v/>
      </c>
      <c r="H333" s="27">
        <f>SUMIF('Gugelhupf'!$A:$A,$B333,'Gugelhupf'!$F:$F)</f>
        <v/>
      </c>
      <c r="I333" s="27">
        <f>SUMIF('Lucia'!$A:$A,$B333,'Lucia'!$F:$F)</f>
        <v/>
      </c>
      <c r="J333" s="27">
        <f>SUMIF('Bar'!$A:$A,$B333,'Bar'!$F:$F)</f>
        <v/>
      </c>
      <c r="K333" s="28">
        <f>SUM(E333:J333)</f>
        <v/>
      </c>
    </row>
    <row r="334">
      <c r="A334" s="15">
        <f>IF(Artikelstamm!$A334="","",Artikelstamm!$A334)</f>
        <v/>
      </c>
      <c r="B334" s="17">
        <f>IF(Artikelstamm!$B334="","",Artikelstamm!$B334)</f>
        <v/>
      </c>
      <c r="C334" s="17">
        <f>IF(Artikelstamm!$C334="","",Artikelstamm!$C334)</f>
        <v/>
      </c>
      <c r="D334" s="15">
        <f>IF(Artikelstamm!$E334="","",Artikelstamm!$E334)</f>
        <v/>
      </c>
      <c r="E334" s="29">
        <f>SUMIF('Hauptmagazin'!$A:$A,$B334,'Hauptmagazin'!$F:$F)</f>
        <v/>
      </c>
      <c r="F334" s="29">
        <f>SUMIF('Panorama'!$A:$A,$B334,'Panorama'!$F:$F)</f>
        <v/>
      </c>
      <c r="G334" s="29">
        <f>SUMIF('Kachelofen'!$A:$A,$B334,'Kachelofen'!$F:$F)</f>
        <v/>
      </c>
      <c r="H334" s="29">
        <f>SUMIF('Gugelhupf'!$A:$A,$B334,'Gugelhupf'!$F:$F)</f>
        <v/>
      </c>
      <c r="I334" s="29">
        <f>SUMIF('Lucia'!$A:$A,$B334,'Lucia'!$F:$F)</f>
        <v/>
      </c>
      <c r="J334" s="29">
        <f>SUMIF('Bar'!$A:$A,$B334,'Bar'!$F:$F)</f>
        <v/>
      </c>
      <c r="K334" s="30">
        <f>SUM(E334:J334)</f>
        <v/>
      </c>
    </row>
    <row r="335">
      <c r="A335" s="12">
        <f>IF(Artikelstamm!$A335="","",Artikelstamm!$A335)</f>
        <v/>
      </c>
      <c r="B335" s="14">
        <f>IF(Artikelstamm!$B335="","",Artikelstamm!$B335)</f>
        <v/>
      </c>
      <c r="C335" s="14">
        <f>IF(Artikelstamm!$C335="","",Artikelstamm!$C335)</f>
        <v/>
      </c>
      <c r="D335" s="12">
        <f>IF(Artikelstamm!$E335="","",Artikelstamm!$E335)</f>
        <v/>
      </c>
      <c r="E335" s="27">
        <f>SUMIF('Hauptmagazin'!$A:$A,$B335,'Hauptmagazin'!$F:$F)</f>
        <v/>
      </c>
      <c r="F335" s="27">
        <f>SUMIF('Panorama'!$A:$A,$B335,'Panorama'!$F:$F)</f>
        <v/>
      </c>
      <c r="G335" s="27">
        <f>SUMIF('Kachelofen'!$A:$A,$B335,'Kachelofen'!$F:$F)</f>
        <v/>
      </c>
      <c r="H335" s="27">
        <f>SUMIF('Gugelhupf'!$A:$A,$B335,'Gugelhupf'!$F:$F)</f>
        <v/>
      </c>
      <c r="I335" s="27">
        <f>SUMIF('Lucia'!$A:$A,$B335,'Lucia'!$F:$F)</f>
        <v/>
      </c>
      <c r="J335" s="27">
        <f>SUMIF('Bar'!$A:$A,$B335,'Bar'!$F:$F)</f>
        <v/>
      </c>
      <c r="K335" s="28">
        <f>SUM(E335:J335)</f>
        <v/>
      </c>
    </row>
    <row r="336">
      <c r="A336" s="15">
        <f>IF(Artikelstamm!$A336="","",Artikelstamm!$A336)</f>
        <v/>
      </c>
      <c r="B336" s="17">
        <f>IF(Artikelstamm!$B336="","",Artikelstamm!$B336)</f>
        <v/>
      </c>
      <c r="C336" s="17">
        <f>IF(Artikelstamm!$C336="","",Artikelstamm!$C336)</f>
        <v/>
      </c>
      <c r="D336" s="15">
        <f>IF(Artikelstamm!$E336="","",Artikelstamm!$E336)</f>
        <v/>
      </c>
      <c r="E336" s="29">
        <f>SUMIF('Hauptmagazin'!$A:$A,$B336,'Hauptmagazin'!$F:$F)</f>
        <v/>
      </c>
      <c r="F336" s="29">
        <f>SUMIF('Panorama'!$A:$A,$B336,'Panorama'!$F:$F)</f>
        <v/>
      </c>
      <c r="G336" s="29">
        <f>SUMIF('Kachelofen'!$A:$A,$B336,'Kachelofen'!$F:$F)</f>
        <v/>
      </c>
      <c r="H336" s="29">
        <f>SUMIF('Gugelhupf'!$A:$A,$B336,'Gugelhupf'!$F:$F)</f>
        <v/>
      </c>
      <c r="I336" s="29">
        <f>SUMIF('Lucia'!$A:$A,$B336,'Lucia'!$F:$F)</f>
        <v/>
      </c>
      <c r="J336" s="29">
        <f>SUMIF('Bar'!$A:$A,$B336,'Bar'!$F:$F)</f>
        <v/>
      </c>
      <c r="K336" s="30">
        <f>SUM(E336:J336)</f>
        <v/>
      </c>
    </row>
    <row r="337">
      <c r="A337" s="12">
        <f>IF(Artikelstamm!$A337="","",Artikelstamm!$A337)</f>
        <v/>
      </c>
      <c r="B337" s="14">
        <f>IF(Artikelstamm!$B337="","",Artikelstamm!$B337)</f>
        <v/>
      </c>
      <c r="C337" s="14">
        <f>IF(Artikelstamm!$C337="","",Artikelstamm!$C337)</f>
        <v/>
      </c>
      <c r="D337" s="12">
        <f>IF(Artikelstamm!$E337="","",Artikelstamm!$E337)</f>
        <v/>
      </c>
      <c r="E337" s="27">
        <f>SUMIF('Hauptmagazin'!$A:$A,$B337,'Hauptmagazin'!$F:$F)</f>
        <v/>
      </c>
      <c r="F337" s="27">
        <f>SUMIF('Panorama'!$A:$A,$B337,'Panorama'!$F:$F)</f>
        <v/>
      </c>
      <c r="G337" s="27">
        <f>SUMIF('Kachelofen'!$A:$A,$B337,'Kachelofen'!$F:$F)</f>
        <v/>
      </c>
      <c r="H337" s="27">
        <f>SUMIF('Gugelhupf'!$A:$A,$B337,'Gugelhupf'!$F:$F)</f>
        <v/>
      </c>
      <c r="I337" s="27">
        <f>SUMIF('Lucia'!$A:$A,$B337,'Lucia'!$F:$F)</f>
        <v/>
      </c>
      <c r="J337" s="27">
        <f>SUMIF('Bar'!$A:$A,$B337,'Bar'!$F:$F)</f>
        <v/>
      </c>
      <c r="K337" s="28">
        <f>SUM(E337:J337)</f>
        <v/>
      </c>
    </row>
    <row r="338">
      <c r="A338" s="15">
        <f>IF(Artikelstamm!$A338="","",Artikelstamm!$A338)</f>
        <v/>
      </c>
      <c r="B338" s="17">
        <f>IF(Artikelstamm!$B338="","",Artikelstamm!$B338)</f>
        <v/>
      </c>
      <c r="C338" s="17">
        <f>IF(Artikelstamm!$C338="","",Artikelstamm!$C338)</f>
        <v/>
      </c>
      <c r="D338" s="15">
        <f>IF(Artikelstamm!$E338="","",Artikelstamm!$E338)</f>
        <v/>
      </c>
      <c r="E338" s="29">
        <f>SUMIF('Hauptmagazin'!$A:$A,$B338,'Hauptmagazin'!$F:$F)</f>
        <v/>
      </c>
      <c r="F338" s="29">
        <f>SUMIF('Panorama'!$A:$A,$B338,'Panorama'!$F:$F)</f>
        <v/>
      </c>
      <c r="G338" s="29">
        <f>SUMIF('Kachelofen'!$A:$A,$B338,'Kachelofen'!$F:$F)</f>
        <v/>
      </c>
      <c r="H338" s="29">
        <f>SUMIF('Gugelhupf'!$A:$A,$B338,'Gugelhupf'!$F:$F)</f>
        <v/>
      </c>
      <c r="I338" s="29">
        <f>SUMIF('Lucia'!$A:$A,$B338,'Lucia'!$F:$F)</f>
        <v/>
      </c>
      <c r="J338" s="29">
        <f>SUMIF('Bar'!$A:$A,$B338,'Bar'!$F:$F)</f>
        <v/>
      </c>
      <c r="K338" s="30">
        <f>SUM(E338:J338)</f>
        <v/>
      </c>
    </row>
    <row r="339">
      <c r="A339" s="12">
        <f>IF(Artikelstamm!$A339="","",Artikelstamm!$A339)</f>
        <v/>
      </c>
      <c r="B339" s="14">
        <f>IF(Artikelstamm!$B339="","",Artikelstamm!$B339)</f>
        <v/>
      </c>
      <c r="C339" s="14">
        <f>IF(Artikelstamm!$C339="","",Artikelstamm!$C339)</f>
        <v/>
      </c>
      <c r="D339" s="12">
        <f>IF(Artikelstamm!$E339="","",Artikelstamm!$E339)</f>
        <v/>
      </c>
      <c r="E339" s="27">
        <f>SUMIF('Hauptmagazin'!$A:$A,$B339,'Hauptmagazin'!$F:$F)</f>
        <v/>
      </c>
      <c r="F339" s="27">
        <f>SUMIF('Panorama'!$A:$A,$B339,'Panorama'!$F:$F)</f>
        <v/>
      </c>
      <c r="G339" s="27">
        <f>SUMIF('Kachelofen'!$A:$A,$B339,'Kachelofen'!$F:$F)</f>
        <v/>
      </c>
      <c r="H339" s="27">
        <f>SUMIF('Gugelhupf'!$A:$A,$B339,'Gugelhupf'!$F:$F)</f>
        <v/>
      </c>
      <c r="I339" s="27">
        <f>SUMIF('Lucia'!$A:$A,$B339,'Lucia'!$F:$F)</f>
        <v/>
      </c>
      <c r="J339" s="27">
        <f>SUMIF('Bar'!$A:$A,$B339,'Bar'!$F:$F)</f>
        <v/>
      </c>
      <c r="K339" s="28">
        <f>SUM(E339:J339)</f>
        <v/>
      </c>
    </row>
    <row r="340">
      <c r="A340" s="15">
        <f>IF(Artikelstamm!$A340="","",Artikelstamm!$A340)</f>
        <v/>
      </c>
      <c r="B340" s="17">
        <f>IF(Artikelstamm!$B340="","",Artikelstamm!$B340)</f>
        <v/>
      </c>
      <c r="C340" s="17">
        <f>IF(Artikelstamm!$C340="","",Artikelstamm!$C340)</f>
        <v/>
      </c>
      <c r="D340" s="15">
        <f>IF(Artikelstamm!$E340="","",Artikelstamm!$E340)</f>
        <v/>
      </c>
      <c r="E340" s="29">
        <f>SUMIF('Hauptmagazin'!$A:$A,$B340,'Hauptmagazin'!$F:$F)</f>
        <v/>
      </c>
      <c r="F340" s="29">
        <f>SUMIF('Panorama'!$A:$A,$B340,'Panorama'!$F:$F)</f>
        <v/>
      </c>
      <c r="G340" s="29">
        <f>SUMIF('Kachelofen'!$A:$A,$B340,'Kachelofen'!$F:$F)</f>
        <v/>
      </c>
      <c r="H340" s="29">
        <f>SUMIF('Gugelhupf'!$A:$A,$B340,'Gugelhupf'!$F:$F)</f>
        <v/>
      </c>
      <c r="I340" s="29">
        <f>SUMIF('Lucia'!$A:$A,$B340,'Lucia'!$F:$F)</f>
        <v/>
      </c>
      <c r="J340" s="29">
        <f>SUMIF('Bar'!$A:$A,$B340,'Bar'!$F:$F)</f>
        <v/>
      </c>
      <c r="K340" s="30">
        <f>SUM(E340:J340)</f>
        <v/>
      </c>
    </row>
    <row r="341">
      <c r="A341" s="12">
        <f>IF(Artikelstamm!$A341="","",Artikelstamm!$A341)</f>
        <v/>
      </c>
      <c r="B341" s="14">
        <f>IF(Artikelstamm!$B341="","",Artikelstamm!$B341)</f>
        <v/>
      </c>
      <c r="C341" s="14">
        <f>IF(Artikelstamm!$C341="","",Artikelstamm!$C341)</f>
        <v/>
      </c>
      <c r="D341" s="12">
        <f>IF(Artikelstamm!$E341="","",Artikelstamm!$E341)</f>
        <v/>
      </c>
      <c r="E341" s="27">
        <f>SUMIF('Hauptmagazin'!$A:$A,$B341,'Hauptmagazin'!$F:$F)</f>
        <v/>
      </c>
      <c r="F341" s="27">
        <f>SUMIF('Panorama'!$A:$A,$B341,'Panorama'!$F:$F)</f>
        <v/>
      </c>
      <c r="G341" s="27">
        <f>SUMIF('Kachelofen'!$A:$A,$B341,'Kachelofen'!$F:$F)</f>
        <v/>
      </c>
      <c r="H341" s="27">
        <f>SUMIF('Gugelhupf'!$A:$A,$B341,'Gugelhupf'!$F:$F)</f>
        <v/>
      </c>
      <c r="I341" s="27">
        <f>SUMIF('Lucia'!$A:$A,$B341,'Lucia'!$F:$F)</f>
        <v/>
      </c>
      <c r="J341" s="27">
        <f>SUMIF('Bar'!$A:$A,$B341,'Bar'!$F:$F)</f>
        <v/>
      </c>
      <c r="K341" s="28">
        <f>SUM(E341:J341)</f>
        <v/>
      </c>
    </row>
    <row r="342">
      <c r="A342" s="15">
        <f>IF(Artikelstamm!$A342="","",Artikelstamm!$A342)</f>
        <v/>
      </c>
      <c r="B342" s="17">
        <f>IF(Artikelstamm!$B342="","",Artikelstamm!$B342)</f>
        <v/>
      </c>
      <c r="C342" s="17">
        <f>IF(Artikelstamm!$C342="","",Artikelstamm!$C342)</f>
        <v/>
      </c>
      <c r="D342" s="15">
        <f>IF(Artikelstamm!$E342="","",Artikelstamm!$E342)</f>
        <v/>
      </c>
      <c r="E342" s="29">
        <f>SUMIF('Hauptmagazin'!$A:$A,$B342,'Hauptmagazin'!$F:$F)</f>
        <v/>
      </c>
      <c r="F342" s="29">
        <f>SUMIF('Panorama'!$A:$A,$B342,'Panorama'!$F:$F)</f>
        <v/>
      </c>
      <c r="G342" s="29">
        <f>SUMIF('Kachelofen'!$A:$A,$B342,'Kachelofen'!$F:$F)</f>
        <v/>
      </c>
      <c r="H342" s="29">
        <f>SUMIF('Gugelhupf'!$A:$A,$B342,'Gugelhupf'!$F:$F)</f>
        <v/>
      </c>
      <c r="I342" s="29">
        <f>SUMIF('Lucia'!$A:$A,$B342,'Lucia'!$F:$F)</f>
        <v/>
      </c>
      <c r="J342" s="29">
        <f>SUMIF('Bar'!$A:$A,$B342,'Bar'!$F:$F)</f>
        <v/>
      </c>
      <c r="K342" s="30">
        <f>SUM(E342:J342)</f>
        <v/>
      </c>
    </row>
    <row r="343">
      <c r="A343" s="12">
        <f>IF(Artikelstamm!$A343="","",Artikelstamm!$A343)</f>
        <v/>
      </c>
      <c r="B343" s="14">
        <f>IF(Artikelstamm!$B343="","",Artikelstamm!$B343)</f>
        <v/>
      </c>
      <c r="C343" s="14">
        <f>IF(Artikelstamm!$C343="","",Artikelstamm!$C343)</f>
        <v/>
      </c>
      <c r="D343" s="12">
        <f>IF(Artikelstamm!$E343="","",Artikelstamm!$E343)</f>
        <v/>
      </c>
      <c r="E343" s="27">
        <f>SUMIF('Hauptmagazin'!$A:$A,$B343,'Hauptmagazin'!$F:$F)</f>
        <v/>
      </c>
      <c r="F343" s="27">
        <f>SUMIF('Panorama'!$A:$A,$B343,'Panorama'!$F:$F)</f>
        <v/>
      </c>
      <c r="G343" s="27">
        <f>SUMIF('Kachelofen'!$A:$A,$B343,'Kachelofen'!$F:$F)</f>
        <v/>
      </c>
      <c r="H343" s="27">
        <f>SUMIF('Gugelhupf'!$A:$A,$B343,'Gugelhupf'!$F:$F)</f>
        <v/>
      </c>
      <c r="I343" s="27">
        <f>SUMIF('Lucia'!$A:$A,$B343,'Lucia'!$F:$F)</f>
        <v/>
      </c>
      <c r="J343" s="27">
        <f>SUMIF('Bar'!$A:$A,$B343,'Bar'!$F:$F)</f>
        <v/>
      </c>
      <c r="K343" s="28">
        <f>SUM(E343:J343)</f>
        <v/>
      </c>
    </row>
    <row r="344">
      <c r="A344" s="15">
        <f>IF(Artikelstamm!$A344="","",Artikelstamm!$A344)</f>
        <v/>
      </c>
      <c r="B344" s="17">
        <f>IF(Artikelstamm!$B344="","",Artikelstamm!$B344)</f>
        <v/>
      </c>
      <c r="C344" s="17">
        <f>IF(Artikelstamm!$C344="","",Artikelstamm!$C344)</f>
        <v/>
      </c>
      <c r="D344" s="15">
        <f>IF(Artikelstamm!$E344="","",Artikelstamm!$E344)</f>
        <v/>
      </c>
      <c r="E344" s="29">
        <f>SUMIF('Hauptmagazin'!$A:$A,$B344,'Hauptmagazin'!$F:$F)</f>
        <v/>
      </c>
      <c r="F344" s="29">
        <f>SUMIF('Panorama'!$A:$A,$B344,'Panorama'!$F:$F)</f>
        <v/>
      </c>
      <c r="G344" s="29">
        <f>SUMIF('Kachelofen'!$A:$A,$B344,'Kachelofen'!$F:$F)</f>
        <v/>
      </c>
      <c r="H344" s="29">
        <f>SUMIF('Gugelhupf'!$A:$A,$B344,'Gugelhupf'!$F:$F)</f>
        <v/>
      </c>
      <c r="I344" s="29">
        <f>SUMIF('Lucia'!$A:$A,$B344,'Lucia'!$F:$F)</f>
        <v/>
      </c>
      <c r="J344" s="29">
        <f>SUMIF('Bar'!$A:$A,$B344,'Bar'!$F:$F)</f>
        <v/>
      </c>
      <c r="K344" s="30">
        <f>SUM(E344:J344)</f>
        <v/>
      </c>
    </row>
    <row r="345">
      <c r="A345" s="12">
        <f>IF(Artikelstamm!$A345="","",Artikelstamm!$A345)</f>
        <v/>
      </c>
      <c r="B345" s="14">
        <f>IF(Artikelstamm!$B345="","",Artikelstamm!$B345)</f>
        <v/>
      </c>
      <c r="C345" s="14">
        <f>IF(Artikelstamm!$C345="","",Artikelstamm!$C345)</f>
        <v/>
      </c>
      <c r="D345" s="12">
        <f>IF(Artikelstamm!$E345="","",Artikelstamm!$E345)</f>
        <v/>
      </c>
      <c r="E345" s="27">
        <f>SUMIF('Hauptmagazin'!$A:$A,$B345,'Hauptmagazin'!$F:$F)</f>
        <v/>
      </c>
      <c r="F345" s="27">
        <f>SUMIF('Panorama'!$A:$A,$B345,'Panorama'!$F:$F)</f>
        <v/>
      </c>
      <c r="G345" s="27">
        <f>SUMIF('Kachelofen'!$A:$A,$B345,'Kachelofen'!$F:$F)</f>
        <v/>
      </c>
      <c r="H345" s="27">
        <f>SUMIF('Gugelhupf'!$A:$A,$B345,'Gugelhupf'!$F:$F)</f>
        <v/>
      </c>
      <c r="I345" s="27">
        <f>SUMIF('Lucia'!$A:$A,$B345,'Lucia'!$F:$F)</f>
        <v/>
      </c>
      <c r="J345" s="27">
        <f>SUMIF('Bar'!$A:$A,$B345,'Bar'!$F:$F)</f>
        <v/>
      </c>
      <c r="K345" s="28">
        <f>SUM(E345:J345)</f>
        <v/>
      </c>
    </row>
    <row r="346">
      <c r="A346" s="15">
        <f>IF(Artikelstamm!$A346="","",Artikelstamm!$A346)</f>
        <v/>
      </c>
      <c r="B346" s="17">
        <f>IF(Artikelstamm!$B346="","",Artikelstamm!$B346)</f>
        <v/>
      </c>
      <c r="C346" s="17">
        <f>IF(Artikelstamm!$C346="","",Artikelstamm!$C346)</f>
        <v/>
      </c>
      <c r="D346" s="15">
        <f>IF(Artikelstamm!$E346="","",Artikelstamm!$E346)</f>
        <v/>
      </c>
      <c r="E346" s="29">
        <f>SUMIF('Hauptmagazin'!$A:$A,$B346,'Hauptmagazin'!$F:$F)</f>
        <v/>
      </c>
      <c r="F346" s="29">
        <f>SUMIF('Panorama'!$A:$A,$B346,'Panorama'!$F:$F)</f>
        <v/>
      </c>
      <c r="G346" s="29">
        <f>SUMIF('Kachelofen'!$A:$A,$B346,'Kachelofen'!$F:$F)</f>
        <v/>
      </c>
      <c r="H346" s="29">
        <f>SUMIF('Gugelhupf'!$A:$A,$B346,'Gugelhupf'!$F:$F)</f>
        <v/>
      </c>
      <c r="I346" s="29">
        <f>SUMIF('Lucia'!$A:$A,$B346,'Lucia'!$F:$F)</f>
        <v/>
      </c>
      <c r="J346" s="29">
        <f>SUMIF('Bar'!$A:$A,$B346,'Bar'!$F:$F)</f>
        <v/>
      </c>
      <c r="K346" s="30">
        <f>SUM(E346:J346)</f>
        <v/>
      </c>
    </row>
    <row r="347">
      <c r="A347" s="12">
        <f>IF(Artikelstamm!$A347="","",Artikelstamm!$A347)</f>
        <v/>
      </c>
      <c r="B347" s="14">
        <f>IF(Artikelstamm!$B347="","",Artikelstamm!$B347)</f>
        <v/>
      </c>
      <c r="C347" s="14">
        <f>IF(Artikelstamm!$C347="","",Artikelstamm!$C347)</f>
        <v/>
      </c>
      <c r="D347" s="12">
        <f>IF(Artikelstamm!$E347="","",Artikelstamm!$E347)</f>
        <v/>
      </c>
      <c r="E347" s="27">
        <f>SUMIF('Hauptmagazin'!$A:$A,$B347,'Hauptmagazin'!$F:$F)</f>
        <v/>
      </c>
      <c r="F347" s="27">
        <f>SUMIF('Panorama'!$A:$A,$B347,'Panorama'!$F:$F)</f>
        <v/>
      </c>
      <c r="G347" s="27">
        <f>SUMIF('Kachelofen'!$A:$A,$B347,'Kachelofen'!$F:$F)</f>
        <v/>
      </c>
      <c r="H347" s="27">
        <f>SUMIF('Gugelhupf'!$A:$A,$B347,'Gugelhupf'!$F:$F)</f>
        <v/>
      </c>
      <c r="I347" s="27">
        <f>SUMIF('Lucia'!$A:$A,$B347,'Lucia'!$F:$F)</f>
        <v/>
      </c>
      <c r="J347" s="27">
        <f>SUMIF('Bar'!$A:$A,$B347,'Bar'!$F:$F)</f>
        <v/>
      </c>
      <c r="K347" s="28">
        <f>SUM(E347:J347)</f>
        <v/>
      </c>
    </row>
    <row r="348">
      <c r="A348" s="15">
        <f>IF(Artikelstamm!$A348="","",Artikelstamm!$A348)</f>
        <v/>
      </c>
      <c r="B348" s="17">
        <f>IF(Artikelstamm!$B348="","",Artikelstamm!$B348)</f>
        <v/>
      </c>
      <c r="C348" s="17">
        <f>IF(Artikelstamm!$C348="","",Artikelstamm!$C348)</f>
        <v/>
      </c>
      <c r="D348" s="15">
        <f>IF(Artikelstamm!$E348="","",Artikelstamm!$E348)</f>
        <v/>
      </c>
      <c r="E348" s="29">
        <f>SUMIF('Hauptmagazin'!$A:$A,$B348,'Hauptmagazin'!$F:$F)</f>
        <v/>
      </c>
      <c r="F348" s="29">
        <f>SUMIF('Panorama'!$A:$A,$B348,'Panorama'!$F:$F)</f>
        <v/>
      </c>
      <c r="G348" s="29">
        <f>SUMIF('Kachelofen'!$A:$A,$B348,'Kachelofen'!$F:$F)</f>
        <v/>
      </c>
      <c r="H348" s="29">
        <f>SUMIF('Gugelhupf'!$A:$A,$B348,'Gugelhupf'!$F:$F)</f>
        <v/>
      </c>
      <c r="I348" s="29">
        <f>SUMIF('Lucia'!$A:$A,$B348,'Lucia'!$F:$F)</f>
        <v/>
      </c>
      <c r="J348" s="29">
        <f>SUMIF('Bar'!$A:$A,$B348,'Bar'!$F:$F)</f>
        <v/>
      </c>
      <c r="K348" s="30">
        <f>SUM(E348:J348)</f>
        <v/>
      </c>
    </row>
    <row r="349">
      <c r="A349" s="12">
        <f>IF(Artikelstamm!$A349="","",Artikelstamm!$A349)</f>
        <v/>
      </c>
      <c r="B349" s="14">
        <f>IF(Artikelstamm!$B349="","",Artikelstamm!$B349)</f>
        <v/>
      </c>
      <c r="C349" s="14">
        <f>IF(Artikelstamm!$C349="","",Artikelstamm!$C349)</f>
        <v/>
      </c>
      <c r="D349" s="12">
        <f>IF(Artikelstamm!$E349="","",Artikelstamm!$E349)</f>
        <v/>
      </c>
      <c r="E349" s="27">
        <f>SUMIF('Hauptmagazin'!$A:$A,$B349,'Hauptmagazin'!$F:$F)</f>
        <v/>
      </c>
      <c r="F349" s="27">
        <f>SUMIF('Panorama'!$A:$A,$B349,'Panorama'!$F:$F)</f>
        <v/>
      </c>
      <c r="G349" s="27">
        <f>SUMIF('Kachelofen'!$A:$A,$B349,'Kachelofen'!$F:$F)</f>
        <v/>
      </c>
      <c r="H349" s="27">
        <f>SUMIF('Gugelhupf'!$A:$A,$B349,'Gugelhupf'!$F:$F)</f>
        <v/>
      </c>
      <c r="I349" s="27">
        <f>SUMIF('Lucia'!$A:$A,$B349,'Lucia'!$F:$F)</f>
        <v/>
      </c>
      <c r="J349" s="27">
        <f>SUMIF('Bar'!$A:$A,$B349,'Bar'!$F:$F)</f>
        <v/>
      </c>
      <c r="K349" s="28">
        <f>SUM(E349:J349)</f>
        <v/>
      </c>
    </row>
    <row r="350">
      <c r="A350" s="15">
        <f>IF(Artikelstamm!$A350="","",Artikelstamm!$A350)</f>
        <v/>
      </c>
      <c r="B350" s="17">
        <f>IF(Artikelstamm!$B350="","",Artikelstamm!$B350)</f>
        <v/>
      </c>
      <c r="C350" s="17">
        <f>IF(Artikelstamm!$C350="","",Artikelstamm!$C350)</f>
        <v/>
      </c>
      <c r="D350" s="15">
        <f>IF(Artikelstamm!$E350="","",Artikelstamm!$E350)</f>
        <v/>
      </c>
      <c r="E350" s="29">
        <f>SUMIF('Hauptmagazin'!$A:$A,$B350,'Hauptmagazin'!$F:$F)</f>
        <v/>
      </c>
      <c r="F350" s="29">
        <f>SUMIF('Panorama'!$A:$A,$B350,'Panorama'!$F:$F)</f>
        <v/>
      </c>
      <c r="G350" s="29">
        <f>SUMIF('Kachelofen'!$A:$A,$B350,'Kachelofen'!$F:$F)</f>
        <v/>
      </c>
      <c r="H350" s="29">
        <f>SUMIF('Gugelhupf'!$A:$A,$B350,'Gugelhupf'!$F:$F)</f>
        <v/>
      </c>
      <c r="I350" s="29">
        <f>SUMIF('Lucia'!$A:$A,$B350,'Lucia'!$F:$F)</f>
        <v/>
      </c>
      <c r="J350" s="29">
        <f>SUMIF('Bar'!$A:$A,$B350,'Bar'!$F:$F)</f>
        <v/>
      </c>
      <c r="K350" s="30">
        <f>SUM(E350:J350)</f>
        <v/>
      </c>
    </row>
    <row r="351">
      <c r="A351" s="12">
        <f>IF(Artikelstamm!$A351="","",Artikelstamm!$A351)</f>
        <v/>
      </c>
      <c r="B351" s="14">
        <f>IF(Artikelstamm!$B351="","",Artikelstamm!$B351)</f>
        <v/>
      </c>
      <c r="C351" s="14">
        <f>IF(Artikelstamm!$C351="","",Artikelstamm!$C351)</f>
        <v/>
      </c>
      <c r="D351" s="12">
        <f>IF(Artikelstamm!$E351="","",Artikelstamm!$E351)</f>
        <v/>
      </c>
      <c r="E351" s="27">
        <f>SUMIF('Hauptmagazin'!$A:$A,$B351,'Hauptmagazin'!$F:$F)</f>
        <v/>
      </c>
      <c r="F351" s="27">
        <f>SUMIF('Panorama'!$A:$A,$B351,'Panorama'!$F:$F)</f>
        <v/>
      </c>
      <c r="G351" s="27">
        <f>SUMIF('Kachelofen'!$A:$A,$B351,'Kachelofen'!$F:$F)</f>
        <v/>
      </c>
      <c r="H351" s="27">
        <f>SUMIF('Gugelhupf'!$A:$A,$B351,'Gugelhupf'!$F:$F)</f>
        <v/>
      </c>
      <c r="I351" s="27">
        <f>SUMIF('Lucia'!$A:$A,$B351,'Lucia'!$F:$F)</f>
        <v/>
      </c>
      <c r="J351" s="27">
        <f>SUMIF('Bar'!$A:$A,$B351,'Bar'!$F:$F)</f>
        <v/>
      </c>
      <c r="K351" s="28">
        <f>SUM(E351:J351)</f>
        <v/>
      </c>
    </row>
  </sheetData>
  <autoFilter ref="A4:K351"/>
  <mergeCells count="3">
    <mergeCell ref="A2:K2"/>
    <mergeCell ref="A1:K1"/>
    <mergeCell ref="A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9"/>
  <sheetViews>
    <sheetView workbookViewId="0">
      <pane ySplit="4" topLeftCell="A5" activePane="bottomLeft" state="frozen"/>
      <selection pane="bottomLeft" activeCell="A1" sqref="A1"/>
    </sheetView>
  </sheetViews>
  <sheetFormatPr baseColWidth="8" defaultRowHeight="15"/>
  <cols>
    <col width="24" customWidth="1" min="1" max="1"/>
    <col width="40" customWidth="1" min="2" max="2"/>
    <col width="40" customWidth="1" min="3" max="3"/>
    <col width="74" customWidth="1" min="4" max="4"/>
  </cols>
  <sheetData>
    <row r="1" ht="30" customHeight="1">
      <c r="A1" s="1" t="inlineStr">
        <is>
          <t>Rechtschreibung – Prüfliste</t>
        </is>
      </c>
      <c r="B1" s="2" t="n"/>
      <c r="C1" s="2" t="n"/>
      <c r="D1" s="2" t="n"/>
    </row>
    <row r="2" ht="20" customHeight="1">
      <c r="A2" s="3" t="inlineStr">
        <is>
          <t>Vier Jahreszeiten Schluchsee</t>
        </is>
      </c>
      <c r="B2" s="4" t="n"/>
      <c r="C2" s="4" t="n"/>
      <c r="D2" s="4" t="n"/>
    </row>
    <row r="3">
      <c r="A3" s="10" t="inlineStr">
        <is>
          <t>Häufige Fehlschreibungen bei Marken, Rebsorten und Küchenbegriffen. Der Artikelstamm in dieser Mappe ist bereits durchgängig in der rechten Schreibweise angelegt.</t>
        </is>
      </c>
    </row>
    <row r="4" ht="26" customHeight="1">
      <c r="A4" s="11" t="inlineStr">
        <is>
          <t>Bereich</t>
        </is>
      </c>
      <c r="B4" s="11" t="inlineStr">
        <is>
          <t>Häufig falsch</t>
        </is>
      </c>
      <c r="C4" s="11" t="inlineStr">
        <is>
          <t>Richtig</t>
        </is>
      </c>
      <c r="D4" s="11" t="inlineStr">
        <is>
          <t>Warum</t>
        </is>
      </c>
    </row>
    <row r="5" ht="22" customHeight="1">
      <c r="A5" s="31" t="inlineStr">
        <is>
          <t>Alkoholfreie Getränke</t>
        </is>
      </c>
      <c r="B5" s="32" t="n"/>
      <c r="C5" s="32" t="n"/>
      <c r="D5" s="32" t="n"/>
    </row>
    <row r="6" ht="18" customHeight="1">
      <c r="A6" s="33" t="inlineStr">
        <is>
          <t>Alkoholfreie Getränke</t>
        </is>
      </c>
      <c r="B6" s="34" t="inlineStr">
        <is>
          <t>Coca Cola, Cola Cola, Koka Kola</t>
        </is>
      </c>
      <c r="C6" s="35" t="inlineStr">
        <is>
          <t>Coca-Cola</t>
        </is>
      </c>
      <c r="D6" s="33" t="inlineStr">
        <is>
          <t>Markenname mit Bindestrich, beide Wortteile groß.</t>
        </is>
      </c>
    </row>
    <row r="7" ht="18" customHeight="1">
      <c r="A7" s="36" t="inlineStr">
        <is>
          <t>Alkoholfreie Getränke</t>
        </is>
      </c>
      <c r="B7" s="37" t="inlineStr">
        <is>
          <t>Coca-Cola Zero</t>
        </is>
      </c>
      <c r="C7" s="38" t="inlineStr">
        <is>
          <t>Coca-Cola Zero Sugar</t>
        </is>
      </c>
      <c r="D7" s="36" t="inlineStr">
        <is>
          <t>Offizieller Produktname; „Zero“ allein ist veraltet.</t>
        </is>
      </c>
    </row>
    <row r="8" ht="18" customHeight="1">
      <c r="A8" s="33" t="inlineStr">
        <is>
          <t>Alkoholfreie Getränke</t>
        </is>
      </c>
      <c r="B8" s="34" t="inlineStr">
        <is>
          <t>Coca-Cola Light</t>
        </is>
      </c>
      <c r="C8" s="35" t="inlineStr">
        <is>
          <t>Coca-Cola light</t>
        </is>
      </c>
      <c r="D8" s="33" t="inlineStr">
        <is>
          <t>„light“ schreibt die Marke klein.</t>
        </is>
      </c>
    </row>
    <row r="9" ht="18" customHeight="1">
      <c r="A9" s="36" t="inlineStr">
        <is>
          <t>Alkoholfreie Getränke</t>
        </is>
      </c>
      <c r="B9" s="37" t="inlineStr">
        <is>
          <t>Mezzomix, Mezzo-Mix</t>
        </is>
      </c>
      <c r="C9" s="38" t="inlineStr">
        <is>
          <t>Mezzo Mix</t>
        </is>
      </c>
      <c r="D9" s="36" t="inlineStr">
        <is>
          <t>Zwei getrennte Wörter, kein Bindestrich.</t>
        </is>
      </c>
    </row>
    <row r="10" ht="18" customHeight="1">
      <c r="A10" s="33" t="inlineStr">
        <is>
          <t>Alkoholfreie Getränke</t>
        </is>
      </c>
      <c r="B10" s="34" t="inlineStr">
        <is>
          <t>Schwepps, Schweppes Tonic</t>
        </is>
      </c>
      <c r="C10" s="35" t="inlineStr">
        <is>
          <t>Schweppes Tonic Water</t>
        </is>
      </c>
      <c r="D10" s="33" t="inlineStr">
        <is>
          <t>Marke mit -es; Sorte immer mitschreiben (Tonic Water, Bitter Lemon, Ginger Ale).</t>
        </is>
      </c>
    </row>
    <row r="11" ht="18" customHeight="1">
      <c r="A11" s="36" t="inlineStr">
        <is>
          <t>Alkoholfreie Getränke</t>
        </is>
      </c>
      <c r="B11" s="37" t="inlineStr">
        <is>
          <t>Redbull, Red-Bull</t>
        </is>
      </c>
      <c r="C11" s="38" t="inlineStr">
        <is>
          <t>Red Bull</t>
        </is>
      </c>
      <c r="D11" s="36" t="inlineStr">
        <is>
          <t>Zwei Wörter, kein Bindestrich.</t>
        </is>
      </c>
    </row>
    <row r="12" ht="18" customHeight="1">
      <c r="A12" s="33" t="inlineStr">
        <is>
          <t>Alkoholfreie Getränke</t>
        </is>
      </c>
      <c r="B12" s="34" t="inlineStr">
        <is>
          <t>Apolinaris, Appolinaris</t>
        </is>
      </c>
      <c r="C12" s="35" t="inlineStr">
        <is>
          <t>Apollinaris</t>
        </is>
      </c>
      <c r="D12" s="33" t="inlineStr">
        <is>
          <t>Mit Doppel-l.</t>
        </is>
      </c>
    </row>
    <row r="13" ht="18" customHeight="1">
      <c r="A13" s="36" t="inlineStr">
        <is>
          <t>Alkoholfreie Getränke</t>
        </is>
      </c>
      <c r="B13" s="37" t="inlineStr">
        <is>
          <t>San Pelegrino</t>
        </is>
      </c>
      <c r="C13" s="38" t="inlineStr">
        <is>
          <t>San Pellegrino</t>
        </is>
      </c>
      <c r="D13" s="36" t="inlineStr">
        <is>
          <t>Mit Doppel-l.</t>
        </is>
      </c>
    </row>
    <row r="14" ht="18" customHeight="1">
      <c r="A14" s="33" t="inlineStr">
        <is>
          <t>Alkoholfreie Getränke</t>
        </is>
      </c>
      <c r="B14" s="34" t="inlineStr">
        <is>
          <t>Fever Tree</t>
        </is>
      </c>
      <c r="C14" s="35" t="inlineStr">
        <is>
          <t>Fever-Tree</t>
        </is>
      </c>
      <c r="D14" s="33" t="inlineStr">
        <is>
          <t>Markenname mit Bindestrich.</t>
        </is>
      </c>
    </row>
    <row r="15" ht="18" customHeight="1">
      <c r="A15" s="36" t="inlineStr">
        <is>
          <t>Alkoholfreie Getränke</t>
        </is>
      </c>
      <c r="B15" s="37" t="inlineStr">
        <is>
          <t>Fanta, Sprite</t>
        </is>
      </c>
      <c r="C15" s="38" t="inlineStr">
        <is>
          <t>Fanta Orange, Sprite</t>
        </is>
      </c>
      <c r="D15" s="36" t="inlineStr">
        <is>
          <t>Bei Fanta immer die Sorte ergänzen – es gibt mehrere.</t>
        </is>
      </c>
    </row>
    <row r="16" ht="18" customHeight="1">
      <c r="A16" s="33" t="inlineStr">
        <is>
          <t>Alkoholfreie Getränke</t>
        </is>
      </c>
      <c r="B16" s="34" t="inlineStr">
        <is>
          <t>Apfelsaft trüb</t>
        </is>
      </c>
      <c r="C16" s="35" t="inlineStr">
        <is>
          <t>Apfelsaft naturtrüb</t>
        </is>
      </c>
      <c r="D16" s="33" t="inlineStr">
        <is>
          <t>Handelsübliche Bezeichnung.</t>
        </is>
      </c>
    </row>
    <row r="17" ht="22" customHeight="1">
      <c r="A17" s="31" t="inlineStr">
        <is>
          <t>Bier</t>
        </is>
      </c>
      <c r="B17" s="32" t="n"/>
      <c r="C17" s="32" t="n"/>
      <c r="D17" s="32" t="n"/>
    </row>
    <row r="18" ht="18" customHeight="1">
      <c r="A18" s="33" t="inlineStr">
        <is>
          <t>Bier</t>
        </is>
      </c>
      <c r="B18" s="34" t="inlineStr">
        <is>
          <t>Tannenzäpfchen, Tannen Zäpfle</t>
        </is>
      </c>
      <c r="C18" s="35" t="inlineStr">
        <is>
          <t>Rothaus Tannenzäpfle</t>
        </is>
      </c>
      <c r="D18" s="33" t="inlineStr">
        <is>
          <t>Ein Wort, mit Umlaut; Brauerei Rothaus (Grafenhausen).</t>
        </is>
      </c>
    </row>
    <row r="19" ht="18" customHeight="1">
      <c r="A19" s="36" t="inlineStr">
        <is>
          <t>Bier</t>
        </is>
      </c>
      <c r="B19" s="37" t="inlineStr">
        <is>
          <t>Erdinger Weissbier</t>
        </is>
      </c>
      <c r="C19" s="38" t="inlineStr">
        <is>
          <t>Erdinger Weißbier</t>
        </is>
      </c>
      <c r="D19" s="36" t="inlineStr">
        <is>
          <t>Erdinger schreibt sich mit ß.</t>
        </is>
      </c>
    </row>
    <row r="20" ht="18" customHeight="1">
      <c r="A20" s="33" t="inlineStr">
        <is>
          <t>Bier</t>
        </is>
      </c>
      <c r="B20" s="34" t="inlineStr">
        <is>
          <t>Franziskaner Weißbier</t>
        </is>
      </c>
      <c r="C20" s="35" t="inlineStr">
        <is>
          <t>Franziskaner Weissbier</t>
        </is>
      </c>
      <c r="D20" s="33" t="inlineStr">
        <is>
          <t>Achtung, umgekehrt: Franziskaner schreibt die Marke mit ss.</t>
        </is>
      </c>
    </row>
    <row r="21" ht="18" customHeight="1">
      <c r="A21" s="36" t="inlineStr">
        <is>
          <t>Bier</t>
        </is>
      </c>
      <c r="B21" s="37" t="inlineStr">
        <is>
          <t>Fürstenberg Pils</t>
        </is>
      </c>
      <c r="C21" s="38" t="inlineStr">
        <is>
          <t>Fürstenberg Premium Pilsener</t>
        </is>
      </c>
      <c r="D21" s="36" t="inlineStr">
        <is>
          <t>Vollständiger Produktname.</t>
        </is>
      </c>
    </row>
    <row r="22" ht="18" customHeight="1">
      <c r="A22" s="33" t="inlineStr">
        <is>
          <t>Bier</t>
        </is>
      </c>
      <c r="B22" s="34" t="inlineStr">
        <is>
          <t>Alpirsbacher Klosterbrau</t>
        </is>
      </c>
      <c r="C22" s="35" t="inlineStr">
        <is>
          <t>Alpirsbacher Klosterbräu</t>
        </is>
      </c>
      <c r="D22" s="33" t="inlineStr">
        <is>
          <t>Mit ä.</t>
        </is>
      </c>
    </row>
    <row r="23" ht="18" customHeight="1">
      <c r="A23" s="36" t="inlineStr">
        <is>
          <t>Bier</t>
        </is>
      </c>
      <c r="B23" s="37" t="inlineStr">
        <is>
          <t>Bitburger 0,0</t>
        </is>
      </c>
      <c r="C23" s="38" t="inlineStr">
        <is>
          <t>Bitburger 0,0 %</t>
        </is>
      </c>
      <c r="D23" s="36" t="inlineStr">
        <is>
          <t>Mit Prozentzeichen.</t>
        </is>
      </c>
    </row>
    <row r="24" ht="22" customHeight="1">
      <c r="A24" s="31" t="inlineStr">
        <is>
          <t>Rebsorten &amp; Wein</t>
        </is>
      </c>
      <c r="B24" s="32" t="n"/>
      <c r="C24" s="32" t="n"/>
      <c r="D24" s="32" t="n"/>
    </row>
    <row r="25" ht="30" customHeight="1">
      <c r="A25" s="36" t="inlineStr">
        <is>
          <t>Rebsorten &amp; Wein</t>
        </is>
      </c>
      <c r="B25" s="37" t="inlineStr">
        <is>
          <t>Grauerburgunder, Grauer-Burgunder</t>
        </is>
      </c>
      <c r="C25" s="38" t="inlineStr">
        <is>
          <t>Grauburgunder</t>
        </is>
      </c>
      <c r="D25" s="36" t="inlineStr">
        <is>
          <t>Ein Wort. „Grauer Burgunder“ und „Ruländer“ sind zulässige Synonyme – aber einheitlich bleiben.</t>
        </is>
      </c>
    </row>
    <row r="26" ht="18" customHeight="1">
      <c r="A26" s="33" t="inlineStr">
        <is>
          <t>Rebsorten &amp; Wein</t>
        </is>
      </c>
      <c r="B26" s="34" t="inlineStr">
        <is>
          <t>Weisburgunder, Weisser Burgunder</t>
        </is>
      </c>
      <c r="C26" s="35" t="inlineStr">
        <is>
          <t>Weißburgunder</t>
        </is>
      </c>
      <c r="D26" s="33" t="inlineStr">
        <is>
          <t>Ein Wort, mit ß. Synonym: Pinot Blanc.</t>
        </is>
      </c>
    </row>
    <row r="27" ht="18" customHeight="1">
      <c r="A27" s="36" t="inlineStr">
        <is>
          <t>Rebsorten &amp; Wein</t>
        </is>
      </c>
      <c r="B27" s="37" t="inlineStr">
        <is>
          <t>Spätburgunda, Spaetburgunder</t>
        </is>
      </c>
      <c r="C27" s="38" t="inlineStr">
        <is>
          <t>Spätburgunder</t>
        </is>
      </c>
      <c r="D27" s="36" t="inlineStr">
        <is>
          <t>Mit ä. Synonym: Pinot Noir.</t>
        </is>
      </c>
    </row>
    <row r="28" ht="18" customHeight="1">
      <c r="A28" s="33" t="inlineStr">
        <is>
          <t>Rebsorten &amp; Wein</t>
        </is>
      </c>
      <c r="B28" s="34" t="inlineStr">
        <is>
          <t>Müller Thurgau, Müllerthurgau</t>
        </is>
      </c>
      <c r="C28" s="35" t="inlineStr">
        <is>
          <t>Müller-Thurgau</t>
        </is>
      </c>
      <c r="D28" s="33" t="inlineStr">
        <is>
          <t>Mit Bindestrich. Synonym: Rivaner.</t>
        </is>
      </c>
    </row>
    <row r="29" ht="18" customHeight="1">
      <c r="A29" s="36" t="inlineStr">
        <is>
          <t>Rebsorten &amp; Wein</t>
        </is>
      </c>
      <c r="B29" s="37" t="inlineStr">
        <is>
          <t>Chardonay, Chardonnai</t>
        </is>
      </c>
      <c r="C29" s="38" t="inlineStr">
        <is>
          <t>Chardonnay</t>
        </is>
      </c>
      <c r="D29" s="36" t="inlineStr">
        <is>
          <t>Mit Doppel-n, Endung -ay.</t>
        </is>
      </c>
    </row>
    <row r="30" ht="18" customHeight="1">
      <c r="A30" s="33" t="inlineStr">
        <is>
          <t>Rebsorten &amp; Wein</t>
        </is>
      </c>
      <c r="B30" s="34" t="inlineStr">
        <is>
          <t>Savignon Blanc, Sauvignion</t>
        </is>
      </c>
      <c r="C30" s="35" t="inlineStr">
        <is>
          <t>Sauvignon Blanc</t>
        </is>
      </c>
      <c r="D30" s="33" t="inlineStr">
        <is>
          <t>Sauvignon mit -uv-, zwei getrennte Wörter.</t>
        </is>
      </c>
    </row>
    <row r="31" ht="18" customHeight="1">
      <c r="A31" s="36" t="inlineStr">
        <is>
          <t>Rebsorten &amp; Wein</t>
        </is>
      </c>
      <c r="B31" s="37" t="inlineStr">
        <is>
          <t>Gewürtztraminer, Gewürztraminer</t>
        </is>
      </c>
      <c r="C31" s="38" t="inlineStr">
        <is>
          <t>Gewürztraminer</t>
        </is>
      </c>
      <c r="D31" s="36" t="inlineStr">
        <is>
          <t>Gewürz + Traminer, kein zusätzliches t.</t>
        </is>
      </c>
    </row>
    <row r="32" ht="18" customHeight="1">
      <c r="A32" s="33" t="inlineStr">
        <is>
          <t>Rebsorten &amp; Wein</t>
        </is>
      </c>
      <c r="B32" s="34" t="inlineStr">
        <is>
          <t>Scheureben, Scheuerebe</t>
        </is>
      </c>
      <c r="C32" s="35" t="inlineStr">
        <is>
          <t>Scheurebe</t>
        </is>
      </c>
      <c r="D32" s="33" t="inlineStr">
        <is>
          <t>Ohne e nach Scheu.</t>
        </is>
      </c>
    </row>
    <row r="33" ht="18" customHeight="1">
      <c r="A33" s="36" t="inlineStr">
        <is>
          <t>Rebsorten &amp; Wein</t>
        </is>
      </c>
      <c r="B33" s="37" t="inlineStr">
        <is>
          <t>Sylvaner</t>
        </is>
      </c>
      <c r="C33" s="38" t="inlineStr">
        <is>
          <t>Silvaner</t>
        </is>
      </c>
      <c r="D33" s="36" t="inlineStr">
        <is>
          <t>In Deutschland mit i.</t>
        </is>
      </c>
    </row>
    <row r="34" ht="18" customHeight="1">
      <c r="A34" s="33" t="inlineStr">
        <is>
          <t>Rebsorten &amp; Wein</t>
        </is>
      </c>
      <c r="B34" s="34" t="inlineStr">
        <is>
          <t>Muskateller</t>
        </is>
      </c>
      <c r="C34" s="35" t="inlineStr">
        <is>
          <t>Gelber Muskateller</t>
        </is>
      </c>
      <c r="D34" s="33" t="inlineStr">
        <is>
          <t>Sortenpräzisierung üblich – es gibt auch Roten Muskateller.</t>
        </is>
      </c>
    </row>
    <row r="35" ht="18" customHeight="1">
      <c r="A35" s="36" t="inlineStr">
        <is>
          <t>Rebsorten &amp; Wein</t>
        </is>
      </c>
      <c r="B35" s="37" t="inlineStr">
        <is>
          <t>Gutedel</t>
        </is>
      </c>
      <c r="C35" s="38" t="inlineStr">
        <is>
          <t>Gutedel</t>
        </is>
      </c>
      <c r="D35" s="36" t="inlineStr">
        <is>
          <t>Richtig. Synonym: Chasselas – die Leitsorte des Markgräflerlands.</t>
        </is>
      </c>
    </row>
    <row r="36" ht="18" customHeight="1">
      <c r="A36" s="33" t="inlineStr">
        <is>
          <t>Rebsorten &amp; Wein</t>
        </is>
      </c>
      <c r="B36" s="34" t="inlineStr">
        <is>
          <t>Schwarz Riesling</t>
        </is>
      </c>
      <c r="C36" s="35" t="inlineStr">
        <is>
          <t>Schwarzriesling</t>
        </is>
      </c>
      <c r="D36" s="33" t="inlineStr">
        <is>
          <t>Ein Wort. Synonyme: Müllerrebe, Pinot Meunier.</t>
        </is>
      </c>
    </row>
    <row r="37" ht="18" customHeight="1">
      <c r="A37" s="36" t="inlineStr">
        <is>
          <t>Rebsorten &amp; Wein</t>
        </is>
      </c>
      <c r="B37" s="37" t="inlineStr">
        <is>
          <t>Weisherbst, Weiss Herbst</t>
        </is>
      </c>
      <c r="C37" s="38" t="inlineStr">
        <is>
          <t>Weißherbst</t>
        </is>
      </c>
      <c r="D37" s="36" t="inlineStr">
        <is>
          <t>Ein Wort, mit ß. Immer aus genau einer Rebsorte, z. B. Spätburgunder Weißherbst.</t>
        </is>
      </c>
    </row>
    <row r="38" ht="18" customHeight="1">
      <c r="A38" s="33" t="inlineStr">
        <is>
          <t>Rebsorten &amp; Wein</t>
        </is>
      </c>
      <c r="B38" s="34" t="inlineStr">
        <is>
          <t>Cabernet Savignon</t>
        </is>
      </c>
      <c r="C38" s="35" t="inlineStr">
        <is>
          <t>Cabernet Sauvignon</t>
        </is>
      </c>
      <c r="D38" s="33" t="inlineStr">
        <is>
          <t>Siehe Sauvignon.</t>
        </is>
      </c>
    </row>
    <row r="39" ht="18" customHeight="1">
      <c r="A39" s="36" t="inlineStr">
        <is>
          <t>Rebsorten &amp; Wein</t>
        </is>
      </c>
      <c r="B39" s="37" t="inlineStr">
        <is>
          <t>Montepulciano d`Abruzzo</t>
        </is>
      </c>
      <c r="C39" s="38" t="inlineStr">
        <is>
          <t>Montepulciano d'Abruzzo</t>
        </is>
      </c>
      <c r="D39" s="36" t="inlineStr">
        <is>
          <t>Mit typografischem Apostroph, ohne Leerzeichen.</t>
        </is>
      </c>
    </row>
    <row r="40" ht="18" customHeight="1">
      <c r="A40" s="33" t="inlineStr">
        <is>
          <t>Rebsorten &amp; Wein</t>
        </is>
      </c>
      <c r="B40" s="34" t="inlineStr">
        <is>
          <t>Prosseco</t>
        </is>
      </c>
      <c r="C40" s="35" t="inlineStr">
        <is>
          <t>Prosecco</t>
        </is>
      </c>
      <c r="D40" s="33" t="inlineStr">
        <is>
          <t>Ein s, zwei c.</t>
        </is>
      </c>
    </row>
    <row r="41" ht="18" customHeight="1">
      <c r="A41" s="36" t="inlineStr">
        <is>
          <t>Rebsorten &amp; Wein</t>
        </is>
      </c>
      <c r="B41" s="37" t="inlineStr">
        <is>
          <t>Cremant</t>
        </is>
      </c>
      <c r="C41" s="38" t="inlineStr">
        <is>
          <t>Crémant</t>
        </is>
      </c>
      <c r="D41" s="36" t="inlineStr">
        <is>
          <t>Mit Accent aigu.</t>
        </is>
      </c>
    </row>
    <row r="42" ht="18" customHeight="1">
      <c r="A42" s="33" t="inlineStr">
        <is>
          <t>Rebsorten &amp; Wein</t>
        </is>
      </c>
      <c r="B42" s="34" t="inlineStr">
        <is>
          <t>Moet, Moët Chandon</t>
        </is>
      </c>
      <c r="C42" s="35" t="inlineStr">
        <is>
          <t>Moët &amp; Chandon</t>
        </is>
      </c>
      <c r="D42" s="33" t="inlineStr">
        <is>
          <t>Mit Trema auf dem e und kaufmännischem Und.</t>
        </is>
      </c>
    </row>
    <row r="43" ht="18" customHeight="1">
      <c r="A43" s="36" t="inlineStr">
        <is>
          <t>Rebsorten &amp; Wein</t>
        </is>
      </c>
      <c r="B43" s="37" t="inlineStr">
        <is>
          <t>Veuve Cliquot</t>
        </is>
      </c>
      <c r="C43" s="38" t="inlineStr">
        <is>
          <t>Veuve Clicquot</t>
        </is>
      </c>
      <c r="D43" s="36" t="inlineStr">
        <is>
          <t>Clicquot mit -cq-.</t>
        </is>
      </c>
    </row>
    <row r="44" ht="22" customHeight="1">
      <c r="A44" s="31" t="inlineStr">
        <is>
          <t>Spirituosen</t>
        </is>
      </c>
      <c r="B44" s="32" t="n"/>
      <c r="C44" s="32" t="n"/>
      <c r="D44" s="32" t="n"/>
    </row>
    <row r="45" ht="18" customHeight="1">
      <c r="A45" s="36" t="inlineStr">
        <is>
          <t>Spirituosen</t>
        </is>
      </c>
      <c r="B45" s="37" t="inlineStr">
        <is>
          <t>Jack Daniels</t>
        </is>
      </c>
      <c r="C45" s="38" t="inlineStr">
        <is>
          <t>Jack Daniel's</t>
        </is>
      </c>
      <c r="D45" s="36" t="inlineStr">
        <is>
          <t>Mit Apostroph, ohne s am Ende von Daniel.</t>
        </is>
      </c>
    </row>
    <row r="46" ht="18" customHeight="1">
      <c r="A46" s="33" t="inlineStr">
        <is>
          <t>Spirituosen</t>
        </is>
      </c>
      <c r="B46" s="34" t="inlineStr">
        <is>
          <t>Hendricks</t>
        </is>
      </c>
      <c r="C46" s="35" t="inlineStr">
        <is>
          <t>Hendrick's</t>
        </is>
      </c>
      <c r="D46" s="33" t="inlineStr">
        <is>
          <t>Mit Apostroph.</t>
        </is>
      </c>
    </row>
    <row r="47" ht="18" customHeight="1">
      <c r="A47" s="36" t="inlineStr">
        <is>
          <t>Spirituosen</t>
        </is>
      </c>
      <c r="B47" s="37" t="inlineStr">
        <is>
          <t>Gordons</t>
        </is>
      </c>
      <c r="C47" s="38" t="inlineStr">
        <is>
          <t>Gordon's</t>
        </is>
      </c>
      <c r="D47" s="36" t="inlineStr">
        <is>
          <t>Mit Apostroph.</t>
        </is>
      </c>
    </row>
    <row r="48" ht="18" customHeight="1">
      <c r="A48" s="33" t="inlineStr">
        <is>
          <t>Spirituosen</t>
        </is>
      </c>
      <c r="B48" s="34" t="inlineStr">
        <is>
          <t>Baccardi, Bacardí</t>
        </is>
      </c>
      <c r="C48" s="35" t="inlineStr">
        <is>
          <t>Bacardi</t>
        </is>
      </c>
      <c r="D48" s="33" t="inlineStr">
        <is>
          <t>Im deutschen Handel ohne Akzent.</t>
        </is>
      </c>
    </row>
    <row r="49" ht="18" customHeight="1">
      <c r="A49" s="36" t="inlineStr">
        <is>
          <t>Spirituosen</t>
        </is>
      </c>
      <c r="B49" s="37" t="inlineStr">
        <is>
          <t>Havana Club Anejo</t>
        </is>
      </c>
      <c r="C49" s="38" t="inlineStr">
        <is>
          <t>Havana Club Añejo 3 Años</t>
        </is>
      </c>
      <c r="D49" s="36" t="inlineStr">
        <is>
          <t>Mit Tilde auf dem n.</t>
        </is>
      </c>
    </row>
    <row r="50" ht="18" customHeight="1">
      <c r="A50" s="33" t="inlineStr">
        <is>
          <t>Spirituosen</t>
        </is>
      </c>
      <c r="B50" s="34" t="inlineStr">
        <is>
          <t>Remy Martin</t>
        </is>
      </c>
      <c r="C50" s="35" t="inlineStr">
        <is>
          <t>Rémy Martin</t>
        </is>
      </c>
      <c r="D50" s="33" t="inlineStr">
        <is>
          <t>Mit Accent aigu.</t>
        </is>
      </c>
    </row>
    <row r="51" ht="18" customHeight="1">
      <c r="A51" s="36" t="inlineStr">
        <is>
          <t>Spirituosen</t>
        </is>
      </c>
      <c r="B51" s="37" t="inlineStr">
        <is>
          <t>Kahlua</t>
        </is>
      </c>
      <c r="C51" s="38" t="inlineStr">
        <is>
          <t>Kahlúa</t>
        </is>
      </c>
      <c r="D51" s="36" t="inlineStr">
        <is>
          <t>Mit Accent auf dem u.</t>
        </is>
      </c>
    </row>
    <row r="52" ht="18" customHeight="1">
      <c r="A52" s="33" t="inlineStr">
        <is>
          <t>Spirituosen</t>
        </is>
      </c>
      <c r="B52" s="34" t="inlineStr">
        <is>
          <t>Amaretto Disarono</t>
        </is>
      </c>
      <c r="C52" s="35" t="inlineStr">
        <is>
          <t>Disaronno Amaretto</t>
        </is>
      </c>
      <c r="D52" s="33" t="inlineStr">
        <is>
          <t>Disaronno mit Doppel-n.</t>
        </is>
      </c>
    </row>
    <row r="53" ht="18" customHeight="1">
      <c r="A53" s="36" t="inlineStr">
        <is>
          <t>Spirituosen</t>
        </is>
      </c>
      <c r="B53" s="37" t="inlineStr">
        <is>
          <t>Aperoll</t>
        </is>
      </c>
      <c r="C53" s="38" t="inlineStr">
        <is>
          <t>Aperol</t>
        </is>
      </c>
      <c r="D53" s="36" t="inlineStr">
        <is>
          <t>Nur ein l.</t>
        </is>
      </c>
    </row>
    <row r="54" ht="18" customHeight="1">
      <c r="A54" s="33" t="inlineStr">
        <is>
          <t>Spirituosen</t>
        </is>
      </c>
      <c r="B54" s="34" t="inlineStr">
        <is>
          <t>Campary</t>
        </is>
      </c>
      <c r="C54" s="35" t="inlineStr">
        <is>
          <t>Campari</t>
        </is>
      </c>
      <c r="D54" s="33" t="inlineStr">
        <is>
          <t>Endung -i.</t>
        </is>
      </c>
    </row>
    <row r="55" ht="18" customHeight="1">
      <c r="A55" s="36" t="inlineStr">
        <is>
          <t>Spirituosen</t>
        </is>
      </c>
      <c r="B55" s="37" t="inlineStr">
        <is>
          <t>Ramazotti</t>
        </is>
      </c>
      <c r="C55" s="38" t="inlineStr">
        <is>
          <t>Ramazzotti</t>
        </is>
      </c>
      <c r="D55" s="36" t="inlineStr">
        <is>
          <t>Mit Doppel-z.</t>
        </is>
      </c>
    </row>
    <row r="56" ht="18" customHeight="1">
      <c r="A56" s="33" t="inlineStr">
        <is>
          <t>Spirituosen</t>
        </is>
      </c>
      <c r="B56" s="34" t="inlineStr">
        <is>
          <t>Fernet Branca</t>
        </is>
      </c>
      <c r="C56" s="35" t="inlineStr">
        <is>
          <t>Fernet-Branca</t>
        </is>
      </c>
      <c r="D56" s="33" t="inlineStr">
        <is>
          <t>Mit Bindestrich.</t>
        </is>
      </c>
    </row>
    <row r="57" ht="18" customHeight="1">
      <c r="A57" s="36" t="inlineStr">
        <is>
          <t>Spirituosen</t>
        </is>
      </c>
      <c r="B57" s="37" t="inlineStr">
        <is>
          <t>Jäger Meister, Jaegermeister</t>
        </is>
      </c>
      <c r="C57" s="38" t="inlineStr">
        <is>
          <t>Jägermeister</t>
        </is>
      </c>
      <c r="D57" s="36" t="inlineStr">
        <is>
          <t>Ein Wort, mit ä.</t>
        </is>
      </c>
    </row>
    <row r="58" ht="18" customHeight="1">
      <c r="A58" s="33" t="inlineStr">
        <is>
          <t>Spirituosen</t>
        </is>
      </c>
      <c r="B58" s="34" t="inlineStr">
        <is>
          <t>Underberger</t>
        </is>
      </c>
      <c r="C58" s="35" t="inlineStr">
        <is>
          <t>Underberg</t>
        </is>
      </c>
      <c r="D58" s="33" t="inlineStr">
        <is>
          <t>Ohne Endung -er.</t>
        </is>
      </c>
    </row>
    <row r="59" ht="18" customHeight="1">
      <c r="A59" s="36" t="inlineStr">
        <is>
          <t>Spirituosen</t>
        </is>
      </c>
      <c r="B59" s="37" t="inlineStr">
        <is>
          <t>Williams Christ Birne</t>
        </is>
      </c>
      <c r="C59" s="38" t="inlineStr">
        <is>
          <t>Williams-Christ-Birne</t>
        </is>
      </c>
      <c r="D59" s="36" t="inlineStr">
        <is>
          <t>Durchgekoppelt.</t>
        </is>
      </c>
    </row>
    <row r="60" ht="18" customHeight="1">
      <c r="A60" s="33" t="inlineStr">
        <is>
          <t>Spirituosen</t>
        </is>
      </c>
      <c r="B60" s="34" t="inlineStr">
        <is>
          <t>Schwarzwälder Kirsch</t>
        </is>
      </c>
      <c r="C60" s="35" t="inlineStr">
        <is>
          <t>Schwarzwälder Kirschwasser</t>
        </is>
      </c>
      <c r="D60" s="33" t="inlineStr">
        <is>
          <t>Amtliche Bezeichnung des Obstbrands.</t>
        </is>
      </c>
    </row>
    <row r="61" ht="18" customHeight="1">
      <c r="A61" s="36" t="inlineStr">
        <is>
          <t>Spirituosen</t>
        </is>
      </c>
      <c r="B61" s="37" t="inlineStr">
        <is>
          <t>Curacao</t>
        </is>
      </c>
      <c r="C61" s="38" t="inlineStr">
        <is>
          <t>Blue Curaçao</t>
        </is>
      </c>
      <c r="D61" s="36" t="inlineStr">
        <is>
          <t>Mit Cedille unter dem c.</t>
        </is>
      </c>
    </row>
    <row r="62" ht="18" customHeight="1">
      <c r="A62" s="33" t="inlineStr">
        <is>
          <t>Spirituosen</t>
        </is>
      </c>
      <c r="B62" s="34" t="inlineStr">
        <is>
          <t>Batida de Coco</t>
        </is>
      </c>
      <c r="C62" s="35" t="inlineStr">
        <is>
          <t>Batida de Côco</t>
        </is>
      </c>
      <c r="D62" s="33" t="inlineStr">
        <is>
          <t>Mit Zirkumflex.</t>
        </is>
      </c>
    </row>
    <row r="63" ht="22" customHeight="1">
      <c r="A63" s="31" t="inlineStr">
        <is>
          <t>Kaffee, Tee &amp; Kakao</t>
        </is>
      </c>
      <c r="B63" s="32" t="n"/>
      <c r="C63" s="32" t="n"/>
      <c r="D63" s="32" t="n"/>
    </row>
    <row r="64" ht="18" customHeight="1">
      <c r="A64" s="33" t="inlineStr">
        <is>
          <t>Kaffee, Tee &amp; Kakao</t>
        </is>
      </c>
      <c r="B64" s="34" t="inlineStr">
        <is>
          <t>Kaffe</t>
        </is>
      </c>
      <c r="C64" s="35" t="inlineStr">
        <is>
          <t>Kaffee</t>
        </is>
      </c>
      <c r="D64" s="33" t="inlineStr">
        <is>
          <t>Doppel-f, Doppel-e.</t>
        </is>
      </c>
    </row>
    <row r="65" ht="18" customHeight="1">
      <c r="A65" s="36" t="inlineStr">
        <is>
          <t>Kaffee, Tee &amp; Kakao</t>
        </is>
      </c>
      <c r="B65" s="37" t="inlineStr">
        <is>
          <t>Expresso</t>
        </is>
      </c>
      <c r="C65" s="38" t="inlineStr">
        <is>
          <t>Espresso</t>
        </is>
      </c>
      <c r="D65" s="36" t="inlineStr">
        <is>
          <t>Mit s, nicht mit x.</t>
        </is>
      </c>
    </row>
    <row r="66" ht="18" customHeight="1">
      <c r="A66" s="33" t="inlineStr">
        <is>
          <t>Kaffee, Tee &amp; Kakao</t>
        </is>
      </c>
      <c r="B66" s="34" t="inlineStr">
        <is>
          <t>Capuccino, Cappucino</t>
        </is>
      </c>
      <c r="C66" s="35" t="inlineStr">
        <is>
          <t>Cappuccino</t>
        </is>
      </c>
      <c r="D66" s="33" t="inlineStr">
        <is>
          <t>Doppel-p und Doppel-c.</t>
        </is>
      </c>
    </row>
    <row r="67" ht="18" customHeight="1">
      <c r="A67" s="36" t="inlineStr">
        <is>
          <t>Kaffee, Tee &amp; Kakao</t>
        </is>
      </c>
      <c r="B67" s="37" t="inlineStr">
        <is>
          <t>Latte Macciato</t>
        </is>
      </c>
      <c r="C67" s="38" t="inlineStr">
        <is>
          <t>Latte macchiato</t>
        </is>
      </c>
      <c r="D67" s="36" t="inlineStr">
        <is>
          <t>macchiato klein, mit -cch-.</t>
        </is>
      </c>
    </row>
    <row r="68" ht="18" customHeight="1">
      <c r="A68" s="33" t="inlineStr">
        <is>
          <t>Kaffee, Tee &amp; Kakao</t>
        </is>
      </c>
      <c r="B68" s="34" t="inlineStr">
        <is>
          <t>Cafe Creme</t>
        </is>
      </c>
      <c r="C68" s="35" t="inlineStr">
        <is>
          <t>Café Crème</t>
        </is>
      </c>
      <c r="D68" s="33" t="inlineStr">
        <is>
          <t>Beide Akzente setzen.</t>
        </is>
      </c>
    </row>
    <row r="69" ht="18" customHeight="1">
      <c r="A69" s="36" t="inlineStr">
        <is>
          <t>Kaffee, Tee &amp; Kakao</t>
        </is>
      </c>
      <c r="B69" s="37" t="inlineStr">
        <is>
          <t>Earl Gray</t>
        </is>
      </c>
      <c r="C69" s="38" t="inlineStr">
        <is>
          <t>Earl Grey</t>
        </is>
      </c>
      <c r="D69" s="36" t="inlineStr">
        <is>
          <t>Mit e.</t>
        </is>
      </c>
    </row>
    <row r="70" ht="18" customHeight="1">
      <c r="A70" s="33" t="inlineStr">
        <is>
          <t>Kaffee, Tee &amp; Kakao</t>
        </is>
      </c>
      <c r="B70" s="34" t="inlineStr">
        <is>
          <t>Roibusch, Rooibusch</t>
        </is>
      </c>
      <c r="C70" s="35" t="inlineStr">
        <is>
          <t>Rooibostee</t>
        </is>
      </c>
      <c r="D70" s="33" t="inlineStr">
        <is>
          <t>Rooibos mit Doppel-o.</t>
        </is>
      </c>
    </row>
    <row r="71" ht="18" customHeight="1">
      <c r="A71" s="36" t="inlineStr">
        <is>
          <t>Kaffee, Tee &amp; Kakao</t>
        </is>
      </c>
      <c r="B71" s="37" t="inlineStr">
        <is>
          <t>Sencha Grüntee</t>
        </is>
      </c>
      <c r="C71" s="38" t="inlineStr">
        <is>
          <t>Grüner Tee Sencha</t>
        </is>
      </c>
      <c r="D71" s="36" t="inlineStr">
        <is>
          <t>Handelsübliche Reihenfolge.</t>
        </is>
      </c>
    </row>
    <row r="72" ht="22" customHeight="1">
      <c r="A72" s="31" t="inlineStr">
        <is>
          <t>Küche &amp; Lebensmittel</t>
        </is>
      </c>
      <c r="B72" s="32" t="n"/>
      <c r="C72" s="32" t="n"/>
      <c r="D72" s="32" t="n"/>
    </row>
    <row r="73" ht="18" customHeight="1">
      <c r="A73" s="36" t="inlineStr">
        <is>
          <t>Küche &amp; Lebensmittel</t>
        </is>
      </c>
      <c r="B73" s="37" t="inlineStr">
        <is>
          <t>Creme fraiche</t>
        </is>
      </c>
      <c r="C73" s="38" t="inlineStr">
        <is>
          <t>Crème fraîche</t>
        </is>
      </c>
      <c r="D73" s="36" t="inlineStr">
        <is>
          <t>Accent grave und Zirkumflex.</t>
        </is>
      </c>
    </row>
    <row r="74" ht="18" customHeight="1">
      <c r="A74" s="33" t="inlineStr">
        <is>
          <t>Küche &amp; Lebensmittel</t>
        </is>
      </c>
      <c r="B74" s="34" t="inlineStr">
        <is>
          <t>Parmesan Reggiano</t>
        </is>
      </c>
      <c r="C74" s="35" t="inlineStr">
        <is>
          <t>Parmigiano Reggiano</t>
        </is>
      </c>
      <c r="D74" s="33" t="inlineStr">
        <is>
          <t>Geschützte Bezeichnung; „Parmesan“ ist nur der eingedeutschte Sammelbegriff.</t>
        </is>
      </c>
    </row>
    <row r="75" ht="18" customHeight="1">
      <c r="A75" s="36" t="inlineStr">
        <is>
          <t>Küche &amp; Lebensmittel</t>
        </is>
      </c>
      <c r="B75" s="37" t="inlineStr">
        <is>
          <t>Mozarella</t>
        </is>
      </c>
      <c r="C75" s="38" t="inlineStr">
        <is>
          <t>Mozzarella</t>
        </is>
      </c>
      <c r="D75" s="36" t="inlineStr">
        <is>
          <t>Doppel-z, Doppel-l.</t>
        </is>
      </c>
    </row>
    <row r="76" ht="18" customHeight="1">
      <c r="A76" s="33" t="inlineStr">
        <is>
          <t>Küche &amp; Lebensmittel</t>
        </is>
      </c>
      <c r="B76" s="34" t="inlineStr">
        <is>
          <t>Yoghurt, Yogurt</t>
        </is>
      </c>
      <c r="C76" s="35" t="inlineStr">
        <is>
          <t>Joghurt</t>
        </is>
      </c>
      <c r="D76" s="33" t="inlineStr">
        <is>
          <t>Deutsche Schreibweise mit J.</t>
        </is>
      </c>
    </row>
    <row r="77" ht="18" customHeight="1">
      <c r="A77" s="36" t="inlineStr">
        <is>
          <t>Küche &amp; Lebensmittel</t>
        </is>
      </c>
      <c r="B77" s="37" t="inlineStr">
        <is>
          <t>Ketschup</t>
        </is>
      </c>
      <c r="C77" s="38" t="inlineStr">
        <is>
          <t>Ketchup</t>
        </is>
      </c>
      <c r="D77" s="36" t="inlineStr">
        <is>
          <t>Englische Schreibweise ist die übliche.</t>
        </is>
      </c>
    </row>
    <row r="78" ht="18" customHeight="1">
      <c r="A78" s="33" t="inlineStr">
        <is>
          <t>Küche &amp; Lebensmittel</t>
        </is>
      </c>
      <c r="B78" s="34" t="inlineStr">
        <is>
          <t>Majonäse</t>
        </is>
      </c>
      <c r="C78" s="35" t="inlineStr">
        <is>
          <t>Mayonnaise</t>
        </is>
      </c>
      <c r="D78" s="33" t="inlineStr">
        <is>
          <t>Zulässig, aber im Handel unüblich.</t>
        </is>
      </c>
    </row>
    <row r="79" ht="18" customHeight="1">
      <c r="A79" s="36" t="inlineStr">
        <is>
          <t>Küche &amp; Lebensmittel</t>
        </is>
      </c>
      <c r="B79" s="37" t="inlineStr">
        <is>
          <t>Balsamico Essig</t>
        </is>
      </c>
      <c r="C79" s="38" t="inlineStr">
        <is>
          <t>Balsamico di Modena</t>
        </is>
      </c>
      <c r="D79" s="36" t="inlineStr">
        <is>
          <t>Geschützte Herkunft.</t>
        </is>
      </c>
    </row>
    <row r="80" ht="18" customHeight="1">
      <c r="A80" s="33" t="inlineStr">
        <is>
          <t>Küche &amp; Lebensmittel</t>
        </is>
      </c>
      <c r="B80" s="34" t="inlineStr">
        <is>
          <t>Spätzle, Spätzle</t>
        </is>
      </c>
      <c r="C80" s="35" t="inlineStr">
        <is>
          <t>Spätzle</t>
        </is>
      </c>
      <c r="D80" s="33" t="inlineStr">
        <is>
          <t>Richtig. Achtung: „Spätzli“ ist die Schweizer Form.</t>
        </is>
      </c>
    </row>
    <row r="81" ht="18" customHeight="1">
      <c r="A81" s="36" t="inlineStr">
        <is>
          <t>Küche &amp; Lebensmittel</t>
        </is>
      </c>
      <c r="B81" s="37" t="inlineStr">
        <is>
          <t>Semmelbrösel / Paniermehl</t>
        </is>
      </c>
      <c r="C81" s="38" t="inlineStr">
        <is>
          <t>Semmelbrösel</t>
        </is>
      </c>
      <c r="D81" s="36" t="inlineStr">
        <is>
          <t>Beides korrekt – im Artikelstamm einheitlich halten.</t>
        </is>
      </c>
    </row>
    <row r="82" ht="18" customHeight="1">
      <c r="A82" s="33" t="inlineStr">
        <is>
          <t>Küche &amp; Lebensmittel</t>
        </is>
      </c>
      <c r="B82" s="34" t="inlineStr">
        <is>
          <t>Schwarzwälder Schinken</t>
        </is>
      </c>
      <c r="C82" s="35" t="inlineStr">
        <is>
          <t>Schwarzwälder Schinken</t>
        </is>
      </c>
      <c r="D82" s="33" t="inlineStr">
        <is>
          <t>Richtig, geschützte geografische Angabe – groß und getrennt.</t>
        </is>
      </c>
    </row>
    <row r="83" ht="18" customHeight="1">
      <c r="A83" s="36" t="inlineStr">
        <is>
          <t>Küche &amp; Lebensmittel</t>
        </is>
      </c>
      <c r="B83" s="37" t="inlineStr">
        <is>
          <t>Broccoli</t>
        </is>
      </c>
      <c r="C83" s="38" t="inlineStr">
        <is>
          <t>Brokkoli</t>
        </is>
      </c>
      <c r="D83" s="36" t="inlineStr">
        <is>
          <t>Beide zulässig; „Brokkoli“ ist die eingedeutschte Duden-Form.</t>
        </is>
      </c>
    </row>
    <row r="84" ht="22" customHeight="1">
      <c r="A84" s="31" t="inlineStr">
        <is>
          <t>Zählstellen &amp; Lager</t>
        </is>
      </c>
      <c r="B84" s="32" t="n"/>
      <c r="C84" s="32" t="n"/>
      <c r="D84" s="32" t="n"/>
    </row>
    <row r="85" ht="18" customHeight="1">
      <c r="A85" s="36" t="inlineStr">
        <is>
          <t>Zählstellen &amp; Lager</t>
        </is>
      </c>
      <c r="B85" s="37" t="inlineStr">
        <is>
          <t>Kacheloffen</t>
        </is>
      </c>
      <c r="C85" s="38" t="inlineStr">
        <is>
          <t>Kachelofen</t>
        </is>
      </c>
      <c r="D85" s="36" t="inlineStr">
        <is>
          <t>Nur ein f – Kachel + Ofen.</t>
        </is>
      </c>
    </row>
    <row r="86" ht="18" customHeight="1">
      <c r="A86" s="33" t="inlineStr">
        <is>
          <t>Zählstellen &amp; Lager</t>
        </is>
      </c>
      <c r="B86" s="34" t="inlineStr">
        <is>
          <t>Google-Hupf, Gugelhupf</t>
        </is>
      </c>
      <c r="C86" s="35" t="inlineStr">
        <is>
          <t>Gugelhupf</t>
        </is>
      </c>
      <c r="D86" s="33" t="inlineStr">
        <is>
          <t>Gugel + Hupf, ein Wort.</t>
        </is>
      </c>
    </row>
    <row r="87" ht="18" customHeight="1">
      <c r="A87" s="36" t="inlineStr">
        <is>
          <t>Zählstellen &amp; Lager</t>
        </is>
      </c>
      <c r="B87" s="37" t="inlineStr">
        <is>
          <t>Panorama, Lucia, Bar</t>
        </is>
      </c>
      <c r="C87" s="38" t="inlineStr">
        <is>
          <t>Panorama, Lucia, Bar</t>
        </is>
      </c>
      <c r="D87" s="36" t="inlineStr">
        <is>
          <t>Bereits korrekt geschrieben.</t>
        </is>
      </c>
    </row>
    <row r="88" ht="18" customHeight="1">
      <c r="A88" s="33" t="inlineStr">
        <is>
          <t>Zählstellen &amp; Lager</t>
        </is>
      </c>
      <c r="B88" s="34" t="inlineStr">
        <is>
          <t>Hauptlager</t>
        </is>
      </c>
      <c r="C88" s="35" t="inlineStr">
        <is>
          <t>Hauptmagazin</t>
        </is>
      </c>
      <c r="D88" s="33" t="inlineStr">
        <is>
          <t>Im Haus gebräuchliche Bezeichnung – einheitlich verwenden.</t>
        </is>
      </c>
    </row>
    <row r="89" ht="18" customHeight="1">
      <c r="A89" s="36" t="inlineStr">
        <is>
          <t>Zählstellen &amp; Lager</t>
        </is>
      </c>
      <c r="B89" s="37" t="inlineStr">
        <is>
          <t>Tiefkühllager</t>
        </is>
      </c>
      <c r="C89" s="38" t="inlineStr">
        <is>
          <t>Tiefkühllager</t>
        </is>
      </c>
      <c r="D89" s="36" t="inlineStr">
        <is>
          <t>Richtig, mit drei l (Tiefkühl + Lager).</t>
        </is>
      </c>
    </row>
  </sheetData>
  <autoFilter ref="A4:D89"/>
  <mergeCells count="10">
    <mergeCell ref="A1:D1"/>
    <mergeCell ref="A17:D17"/>
    <mergeCell ref="A5:D5"/>
    <mergeCell ref="A3:D3"/>
    <mergeCell ref="A72:D72"/>
    <mergeCell ref="A24:D24"/>
    <mergeCell ref="A2:D2"/>
    <mergeCell ref="A63:D63"/>
    <mergeCell ref="A84:D84"/>
    <mergeCell ref="A44:D4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20" customWidth="1" min="1" max="1"/>
    <col width="22" customWidth="1" min="2" max="2"/>
    <col width="34" customWidth="1" min="3" max="3"/>
    <col width="32" customWidth="1" min="4" max="4"/>
    <col width="20" customWidth="1" min="5" max="5"/>
  </cols>
  <sheetData>
    <row r="1" ht="30" customHeight="1">
      <c r="A1" s="1" t="inlineStr">
        <is>
          <t>Auswahllisten</t>
        </is>
      </c>
      <c r="B1" s="2" t="n"/>
      <c r="C1" s="2" t="n"/>
      <c r="D1" s="2" t="n"/>
      <c r="E1" s="2" t="n"/>
    </row>
    <row r="2" ht="20" customHeight="1">
      <c r="A2" s="3" t="inlineStr">
        <is>
          <t>Vier Jahreszeiten Schluchsee</t>
        </is>
      </c>
      <c r="B2" s="4" t="n"/>
      <c r="C2" s="4" t="n"/>
      <c r="D2" s="4" t="n"/>
      <c r="E2" s="4" t="n"/>
    </row>
    <row r="3">
      <c r="A3" s="10" t="inlineStr">
        <is>
          <t>Diese Listen speisen die Auswahlfelder. Einträge dürfen ergänzt oder geändert werden – nur bitte keine Lücken lassen.</t>
        </is>
      </c>
    </row>
    <row r="4" ht="26" customHeight="1">
      <c r="A4" s="11" t="inlineStr">
        <is>
          <t>Einheiten</t>
        </is>
      </c>
      <c r="B4" s="11" t="inlineStr">
        <is>
          <t>Lager / Standorte</t>
        </is>
      </c>
      <c r="C4" s="11" t="inlineStr">
        <is>
          <t>Warengruppen</t>
        </is>
      </c>
      <c r="D4" s="11" t="inlineStr">
        <is>
          <t>Lieferanten</t>
        </is>
      </c>
      <c r="E4" s="11" t="inlineStr">
        <is>
          <t>Zählstellen</t>
        </is>
      </c>
    </row>
    <row r="5">
      <c r="A5" s="14" t="inlineStr">
        <is>
          <t>Stück</t>
        </is>
      </c>
      <c r="B5" s="14" t="inlineStr">
        <is>
          <t>Hauptmagazin</t>
        </is>
      </c>
      <c r="C5" s="14" t="inlineStr">
        <is>
          <t>AFG – Mineralwasser</t>
        </is>
      </c>
      <c r="D5" s="14" t="inlineStr">
        <is>
          <t>Getränkefachgroßhandel</t>
        </is>
      </c>
      <c r="E5" s="14" t="inlineStr">
        <is>
          <t>Hauptmagazin</t>
        </is>
      </c>
    </row>
    <row r="6">
      <c r="A6" s="17" t="inlineStr">
        <is>
          <t>Flasche</t>
        </is>
      </c>
      <c r="B6" s="17" t="inlineStr">
        <is>
          <t>Getränkelager</t>
        </is>
      </c>
      <c r="C6" s="17" t="inlineStr">
        <is>
          <t>AFG – Limonaden</t>
        </is>
      </c>
      <c r="D6" s="17" t="inlineStr">
        <is>
          <t>Weinhandel</t>
        </is>
      </c>
      <c r="E6" s="17" t="inlineStr">
        <is>
          <t>Panorama</t>
        </is>
      </c>
    </row>
    <row r="7">
      <c r="A7" s="14" t="inlineStr">
        <is>
          <t>Dose</t>
        </is>
      </c>
      <c r="B7" s="14" t="inlineStr">
        <is>
          <t>Weinkeller</t>
        </is>
      </c>
      <c r="C7" s="14" t="inlineStr">
        <is>
          <t>AFG – Säfte &amp; Nektare</t>
        </is>
      </c>
      <c r="D7" s="14" t="inlineStr">
        <is>
          <t>Spirituosenhandel</t>
        </is>
      </c>
      <c r="E7" s="14" t="inlineStr">
        <is>
          <t>Kachelofen</t>
        </is>
      </c>
    </row>
    <row r="8">
      <c r="A8" s="17" t="inlineStr">
        <is>
          <t>Glas</t>
        </is>
      </c>
      <c r="B8" s="17" t="inlineStr">
        <is>
          <t>Trockenlager</t>
        </is>
      </c>
      <c r="C8" s="17" t="inlineStr">
        <is>
          <t>AFG – Energy &amp; Sonstige</t>
        </is>
      </c>
      <c r="D8" s="17" t="inlineStr">
        <is>
          <t>Kaffeelieferant</t>
        </is>
      </c>
      <c r="E8" s="17" t="inlineStr">
        <is>
          <t>Gugelhupf</t>
        </is>
      </c>
    </row>
    <row r="9">
      <c r="A9" s="14" t="inlineStr">
        <is>
          <t>Kasten</t>
        </is>
      </c>
      <c r="B9" s="14" t="inlineStr">
        <is>
          <t>Kühlhaus</t>
        </is>
      </c>
      <c r="C9" s="14" t="inlineStr">
        <is>
          <t>Bier</t>
        </is>
      </c>
      <c r="D9" s="14" t="inlineStr">
        <is>
          <t>Lebensmittelgroßhandel</t>
        </is>
      </c>
      <c r="E9" s="14" t="inlineStr">
        <is>
          <t>Lucia</t>
        </is>
      </c>
    </row>
    <row r="10">
      <c r="A10" s="17" t="inlineStr">
        <is>
          <t>Karton</t>
        </is>
      </c>
      <c r="B10" s="17" t="inlineStr">
        <is>
          <t>Tiefkühllager</t>
        </is>
      </c>
      <c r="C10" s="17" t="inlineStr">
        <is>
          <t>Wein – Weiß</t>
        </is>
      </c>
      <c r="D10" s="17" t="inlineStr">
        <is>
          <t>Hygiene- &amp; Reinigungsbedarf</t>
        </is>
      </c>
      <c r="E10" s="17" t="inlineStr">
        <is>
          <t>Bar</t>
        </is>
      </c>
    </row>
    <row r="11">
      <c r="A11" s="14" t="inlineStr">
        <is>
          <t>Kiste</t>
        </is>
      </c>
      <c r="B11" s="14" t="inlineStr">
        <is>
          <t>Keller</t>
        </is>
      </c>
      <c r="C11" s="14" t="inlineStr">
        <is>
          <t>Wein – Rosé &amp; Weißherbst</t>
        </is>
      </c>
    </row>
    <row r="12">
      <c r="A12" s="17" t="inlineStr">
        <is>
          <t>Tray</t>
        </is>
      </c>
      <c r="B12" s="17" t="inlineStr">
        <is>
          <t>Küche</t>
        </is>
      </c>
      <c r="C12" s="17" t="inlineStr">
        <is>
          <t>Wein – Rot</t>
        </is>
      </c>
    </row>
    <row r="13">
      <c r="A13" s="14" t="inlineStr">
        <is>
          <t>Packung</t>
        </is>
      </c>
      <c r="B13" s="14" t="inlineStr">
        <is>
          <t>Housekeeping</t>
        </is>
      </c>
      <c r="C13" s="14" t="inlineStr">
        <is>
          <t>Sekt &amp; Champagner</t>
        </is>
      </c>
    </row>
    <row r="14">
      <c r="A14" s="17" t="inlineStr">
        <is>
          <t>Beutel</t>
        </is>
      </c>
      <c r="B14" s="17" t="inlineStr">
        <is>
          <t>Bar</t>
        </is>
      </c>
      <c r="C14" s="17" t="inlineStr">
        <is>
          <t>Spirituosen – Obstbrände</t>
        </is>
      </c>
    </row>
    <row r="15">
      <c r="A15" s="14" t="inlineStr">
        <is>
          <t>Sack</t>
        </is>
      </c>
      <c r="B15" s="14" t="inlineStr">
        <is>
          <t>Restaurant</t>
        </is>
      </c>
      <c r="C15" s="14" t="inlineStr">
        <is>
          <t>Spirituosen – Bitter &amp; Aperitif</t>
        </is>
      </c>
    </row>
    <row r="16">
      <c r="A16" s="17" t="inlineStr">
        <is>
          <t>Eimer</t>
        </is>
      </c>
      <c r="B16" s="17" t="inlineStr">
        <is>
          <t>Technik</t>
        </is>
      </c>
      <c r="C16" s="17" t="inlineStr">
        <is>
          <t>Spirituosen – Gin &amp; Wodka</t>
        </is>
      </c>
    </row>
    <row r="17">
      <c r="A17" s="14" t="inlineStr">
        <is>
          <t>Kanister</t>
        </is>
      </c>
      <c r="B17" s="14" t="inlineStr">
        <is>
          <t>Wellness</t>
        </is>
      </c>
      <c r="C17" s="14" t="inlineStr">
        <is>
          <t>Spirituosen – Rum &amp; Tequila</t>
        </is>
      </c>
    </row>
    <row r="18">
      <c r="A18" s="17" t="inlineStr">
        <is>
          <t>Fass</t>
        </is>
      </c>
      <c r="C18" s="17" t="inlineStr">
        <is>
          <t>Spirituosen – Whisky &amp; Cognac</t>
        </is>
      </c>
    </row>
    <row r="19">
      <c r="A19" s="14" t="inlineStr">
        <is>
          <t>Rolle</t>
        </is>
      </c>
      <c r="C19" s="14" t="inlineStr">
        <is>
          <t>Spirituosen – Liköre</t>
        </is>
      </c>
    </row>
    <row r="20">
      <c r="A20" s="17" t="inlineStr">
        <is>
          <t>Palette</t>
        </is>
      </c>
      <c r="C20" s="17" t="inlineStr">
        <is>
          <t>Heißgetränke – Kaffee</t>
        </is>
      </c>
    </row>
    <row r="21">
      <c r="A21" s="14" t="inlineStr">
        <is>
          <t>Paar</t>
        </is>
      </c>
      <c r="C21" s="14" t="inlineStr">
        <is>
          <t>Heißgetränke – Tee &amp; Kakao</t>
        </is>
      </c>
    </row>
    <row r="22">
      <c r="A22" s="17" t="inlineStr">
        <is>
          <t>Set</t>
        </is>
      </c>
      <c r="C22" s="17" t="inlineStr">
        <is>
          <t>Bar – Zubehör &amp; Frischware</t>
        </is>
      </c>
    </row>
    <row r="23">
      <c r="A23" s="14" t="inlineStr">
        <is>
          <t>Bund</t>
        </is>
      </c>
      <c r="C23" s="14" t="inlineStr">
        <is>
          <t>Küche – Trockenlager</t>
        </is>
      </c>
    </row>
    <row r="24">
      <c r="A24" s="17" t="inlineStr">
        <is>
          <t>kg</t>
        </is>
      </c>
      <c r="C24" s="17" t="inlineStr">
        <is>
          <t>Küche – Konserven &amp; Saucen</t>
        </is>
      </c>
    </row>
    <row r="25">
      <c r="A25" s="14" t="inlineStr">
        <is>
          <t>g</t>
        </is>
      </c>
      <c r="C25" s="14" t="inlineStr">
        <is>
          <t>Küche – Kühlhaus</t>
        </is>
      </c>
    </row>
    <row r="26">
      <c r="A26" s="17" t="inlineStr">
        <is>
          <t>l</t>
        </is>
      </c>
      <c r="C26" s="17" t="inlineStr">
        <is>
          <t>Küche – Tiefkühl</t>
        </is>
      </c>
    </row>
    <row r="27">
      <c r="A27" s="14" t="inlineStr">
        <is>
          <t>ml</t>
        </is>
      </c>
      <c r="C27" s="14" t="inlineStr">
        <is>
          <t>Housekeeping – Gästeartikel</t>
        </is>
      </c>
    </row>
    <row r="28">
      <c r="A28" s="17" t="inlineStr">
        <is>
          <t>Portion</t>
        </is>
      </c>
      <c r="C28" s="17" t="inlineStr">
        <is>
          <t>Housekeeping – Reinigung</t>
        </is>
      </c>
    </row>
    <row r="29">
      <c r="C29" s="14" t="inlineStr">
        <is>
          <t>Verbrauchsmaterial Service</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2026-09-30T14:29:30Z</dcterms:created>
  <dcterms:modified xsi:type="dcterms:W3CDTF">2026-09-30T14:29:31Z</dcterms:modified>
</cp:coreProperties>
</file>